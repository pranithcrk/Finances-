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ashflow" sheetId="1" state="visible" r:id="rId3"/>
    <sheet name="Budget Analysis" sheetId="2" state="visible" r:id="rId4"/>
    <sheet name="Investment Strategy" sheetId="3" state="visible" r:id="rId5"/>
    <sheet name="Complete breakdown " sheetId="4" state="visible" r:id="rId6"/>
    <sheet name="rent+utils " sheetId="5" state="visible" r:id="rId7"/>
    <sheet name="Net breakdown " sheetId="6" state="visible" r:id="rId8"/>
    <sheet name="Grocs+Lunches " sheetId="7" state="visible" r:id="rId9"/>
    <sheet name="Subscriptions " sheetId="8" state="visible" r:id="rId10"/>
  </sheet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<sst xmlns="http://schemas.openxmlformats.org/spreadsheetml/2006/main" count="527" uniqueCount="428">
  <si>
    <t xml:space="preserve">💰 Master Monthly Cashflow — Complete Picture</t>
  </si>
  <si>
    <t xml:space="preserve">H1B Take-Home: $5,222.38/mo  |  Current Deficit: $-322.62  →  Optimized: $-3.62</t>
  </si>
  <si>
    <t xml:space="preserve">ℹ️  The $2,250 India remittance comes FROM your savings bucket — it is NOT a separate expense. Your investments below are entirely separate from what you send home.</t>
  </si>
  <si>
    <t xml:space="preserve">Category</t>
  </si>
  <si>
    <t xml:space="preserve">Current ($/mo)</t>
  </si>
  <si>
    <t xml:space="preserve">Optimized ($/mo)</t>
  </si>
  <si>
    <t xml:space="preserve">Change ($)</t>
  </si>
  <si>
    <t xml:space="preserve">% of Income</t>
  </si>
  <si>
    <t xml:space="preserve">Notes</t>
  </si>
  <si>
    <t xml:space="preserve">📥  INCOME</t>
  </si>
  <si>
    <t xml:space="preserve">   H1B Monthly Take-Home</t>
  </si>
  <si>
    <t xml:space="preserve">100.0%</t>
  </si>
  <si>
    <t xml:space="preserve">Fixed — after all payroll deductions</t>
  </si>
  <si>
    <t xml:space="preserve">TOTAL INCOME</t>
  </si>
  <si>
    <t xml:space="preserve">🏠  LIVING EXPENSES (Day-to-day)</t>
  </si>
  <si>
    <t xml:space="preserve">   Rent</t>
  </si>
  <si>
    <t xml:space="preserve">19.3%</t>
  </si>
  <si>
    <t xml:space="preserve">Fixed — split with Rohan</t>
  </si>
  <si>
    <t xml:space="preserve">   Utilities</t>
  </si>
  <si>
    <t xml:space="preserve">1.7%</t>
  </si>
  <si>
    <t xml:space="preserve">Actuals ~$89</t>
  </si>
  <si>
    <t xml:space="preserve">   Groceries</t>
  </si>
  <si>
    <t xml:space="preserve">9.6%</t>
  </si>
  <si>
    <t xml:space="preserve">Meal prep → $150/mo saved</t>
  </si>
  <si>
    <t xml:space="preserve">   Subscriptions</t>
  </si>
  <si>
    <t xml:space="preserve">1.3%</t>
  </si>
  <si>
    <t xml:space="preserve">Cancel Nibble (-$8)</t>
  </si>
  <si>
    <t xml:space="preserve">   Travel</t>
  </si>
  <si>
    <t xml:space="preserve">3.8%</t>
  </si>
  <si>
    <t xml:space="preserve">Plan ahead, carpool</t>
  </si>
  <si>
    <t xml:space="preserve">   Misc</t>
  </si>
  <si>
    <t xml:space="preserve">2.9%</t>
  </si>
  <si>
    <t xml:space="preserve">Envelope budget at $150</t>
  </si>
  <si>
    <t xml:space="preserve">   Cycle</t>
  </si>
  <si>
    <t xml:space="preserve">5.0%</t>
  </si>
  <si>
    <t xml:space="preserve">Keep — fitness</t>
  </si>
  <si>
    <t xml:space="preserve">SUBTOTAL — Living</t>
  </si>
  <si>
    <t xml:space="preserve">43.6%</t>
  </si>
  <si>
    <t xml:space="preserve">🏦  RETIREMENT &amp; COMPULSORY</t>
  </si>
  <si>
    <t xml:space="preserve">   Roth 401K</t>
  </si>
  <si>
    <t xml:space="preserve">7.9%</t>
  </si>
  <si>
    <t xml:space="preserve">Non-negotiable</t>
  </si>
  <si>
    <t xml:space="preserve">   Voluntary 401K (pre-tax)</t>
  </si>
  <si>
    <t xml:space="preserve">4.0%</t>
  </si>
  <si>
    <t xml:space="preserve">Reduces taxable income</t>
  </si>
  <si>
    <t xml:space="preserve">   Rainy Day Fund</t>
  </si>
  <si>
    <t xml:space="preserve">11.9%</t>
  </si>
  <si>
    <t xml:space="preserve">Emergency buffer — keep</t>
  </si>
  <si>
    <t xml:space="preserve">   Insurance</t>
  </si>
  <si>
    <t xml:space="preserve">1.5%</t>
  </si>
  <si>
    <t xml:space="preserve">Fixed</t>
  </si>
  <si>
    <t xml:space="preserve">SUBTOTAL — Retirement</t>
  </si>
  <si>
    <t xml:space="preserve">25.3%</t>
  </si>
  <si>
    <t xml:space="preserve">📊  EXISTING INVESTMENTS (from your sheet)</t>
  </si>
  <si>
    <t xml:space="preserve">   ETFs (existing in sheet)</t>
  </si>
  <si>
    <t xml:space="preserve">4.8%</t>
  </si>
  <si>
    <t xml:space="preserve">Already set up — keep going</t>
  </si>
  <si>
    <t xml:space="preserve">SUBTOTAL — Existing ETFs</t>
  </si>
  <si>
    <t xml:space="preserve">💵  SAVINGS BUCKET</t>
  </si>
  <si>
    <t xml:space="preserve">   Monthly Savings</t>
  </si>
  <si>
    <t xml:space="preserve">21.1%</t>
  </si>
  <si>
    <t xml:space="preserve">Reduced from $2,000 → $1,100 to fund new investments</t>
  </si>
  <si>
    <t xml:space="preserve">      └ of which: sent to India (~$2,250)</t>
  </si>
  <si>
    <t xml:space="preserve">—</t>
  </si>
  <si>
    <t xml:space="preserve">Your India remittance comes FROM this bucket — not extra</t>
  </si>
  <si>
    <t xml:space="preserve">SUBTOTAL — Savings</t>
  </si>
  <si>
    <t xml:space="preserve">📈  NEW INVESTMENTS (what we added today)</t>
  </si>
  <si>
    <t xml:space="preserve">   ETFs — QQQ (Nasdaq 100)</t>
  </si>
  <si>
    <t xml:space="preserve">Aggressive US tech; Fidelity auto-buy</t>
  </si>
  <si>
    <t xml:space="preserve">   ETFs — VWO (Emerging Markets)</t>
  </si>
  <si>
    <t xml:space="preserve">1.9%</t>
  </si>
  <si>
    <t xml:space="preserve">India/Asia exposure</t>
  </si>
  <si>
    <t xml:space="preserve">   Individual Stocks (7 picks)</t>
  </si>
  <si>
    <t xml:space="preserve">NVDA·PLTR·LLY·AMZN·JPM·VRT·BAC</t>
  </si>
  <si>
    <t xml:space="preserve">SUBTOTAL — New Investments</t>
  </si>
  <si>
    <t xml:space="preserve">🇮🇳  EXTRA INDIA LOAN PREPAYMENT (new)</t>
  </si>
  <si>
    <t xml:space="preserve">   Additional principal payment</t>
  </si>
  <si>
    <t xml:space="preserve">7.7%</t>
  </si>
  <si>
    <t xml:space="preserve">On top of existing remittance — 9.8% guaranteed return</t>
  </si>
  <si>
    <t xml:space="preserve">SUBTOTAL — Extra India Prepay</t>
  </si>
  <si>
    <t xml:space="preserve">TOTAL MONTHLY OUTFLOW</t>
  </si>
  <si>
    <t xml:space="preserve">100.1%</t>
  </si>
  <si>
    <t xml:space="preserve">All buckets combined</t>
  </si>
  <si>
    <t xml:space="preserve">NET BALANCE (Take-Home − Outflow)</t>
  </si>
  <si>
    <t xml:space="preserve">⚠️  $4 shortfall — see note below</t>
  </si>
  <si>
    <t xml:space="preserve">💡 To reach $0 balance: reduce savings further to ~$1,096/mo OR cut travel/misc more. The extra India prepayment + new investments add $900/mo of new committed outflow.</t>
  </si>
  <si>
    <t xml:space="preserve">📊  WHERE EVERY DOLLAR GOES — Optimized Plan</t>
  </si>
  <si>
    <t xml:space="preserve">Bucket</t>
  </si>
  <si>
    <t xml:space="preserve">Amount &amp; % of Take-Home</t>
  </si>
  <si>
    <t xml:space="preserve">🏠 Living Expenses</t>
  </si>
  <si>
    <t xml:space="preserve">$2,276  (43.6% of income)</t>
  </si>
  <si>
    <t xml:space="preserve">🏦 Retirement &amp; Compulsory</t>
  </si>
  <si>
    <t xml:space="preserve">$1,323  (25.3% of income)</t>
  </si>
  <si>
    <t xml:space="preserve">📊 Existing ETFs</t>
  </si>
  <si>
    <t xml:space="preserve">$250  (4.8% of income)</t>
  </si>
  <si>
    <t xml:space="preserve">💵 Savings Bucket</t>
  </si>
  <si>
    <t xml:space="preserve">$1,100  (21.1% of income)</t>
  </si>
  <si>
    <t xml:space="preserve">📈 New Investments</t>
  </si>
  <si>
    <t xml:space="preserve">$500  (9.6% of income)</t>
  </si>
  <si>
    <t xml:space="preserve">🇮🇳 Extra India Prepayment</t>
  </si>
  <si>
    <t xml:space="preserve">$400  (7.7% of income)</t>
  </si>
  <si>
    <t xml:space="preserve">💰 Remaining Buffer</t>
  </si>
  <si>
    <t xml:space="preserve">$-3.62  (-0.1%)</t>
  </si>
  <si>
    <t xml:space="preserve">📊 Budget Analysis &amp; Optimization Report</t>
  </si>
  <si>
    <t xml:space="preserve">Based on H1B Monthly Take-Home: $5,222.38  |  Current Deficit: -$322.62</t>
  </si>
  <si>
    <t xml:space="preserve">CURRENT vs OPTIMIZED BUDGET</t>
  </si>
  <si>
    <t xml:space="preserve">Current ($)</t>
  </si>
  <si>
    <t xml:space="preserve">Optimized ($)</t>
  </si>
  <si>
    <t xml:space="preserve">Priority</t>
  </si>
  <si>
    <t xml:space="preserve">Base Rent</t>
  </si>
  <si>
    <t xml:space="preserve">Fixed — no change</t>
  </si>
  <si>
    <t xml:space="preserve">Utilities</t>
  </si>
  <si>
    <t xml:space="preserve">Actuals: $38.66+$37.72+split = ~$89</t>
  </si>
  <si>
    <t xml:space="preserve">Groceries</t>
  </si>
  <si>
    <t xml:space="preserve">Reduce by meal prepping + Walmart list optimization</t>
  </si>
  <si>
    <t xml:space="preserve">🔴 High</t>
  </si>
  <si>
    <t xml:space="preserve">Subscriptions</t>
  </si>
  <si>
    <t xml:space="preserve">Cut Nibble ($8/mo — non-essential)</t>
  </si>
  <si>
    <t xml:space="preserve">🟡 Easy Win</t>
  </si>
  <si>
    <t xml:space="preserve">Travel</t>
  </si>
  <si>
    <t xml:space="preserve">Reduce by carpooling/planning trips better</t>
  </si>
  <si>
    <t xml:space="preserve">🟡 Medium</t>
  </si>
  <si>
    <t xml:space="preserve">Misc Purchases</t>
  </si>
  <si>
    <t xml:space="preserve">Cap impulse spending with $150 budget</t>
  </si>
  <si>
    <t xml:space="preserve">Cycle</t>
  </si>
  <si>
    <t xml:space="preserve">Keep — fitness investment</t>
  </si>
  <si>
    <t xml:space="preserve">Insurance</t>
  </si>
  <si>
    <t xml:space="preserve">Fixed — keep</t>
  </si>
  <si>
    <t xml:space="preserve">Savings</t>
  </si>
  <si>
    <t xml:space="preserve">Slightly reduce to fix deficit; restore when income grows</t>
  </si>
  <si>
    <t xml:space="preserve">🟢 Flexible</t>
  </si>
  <si>
    <t xml:space="preserve">Rainy Day + 401K</t>
  </si>
  <si>
    <t xml:space="preserve">Non-negotiable — keep</t>
  </si>
  <si>
    <t xml:space="preserve">ETFs</t>
  </si>
  <si>
    <t xml:space="preserve">Keep — long-term wealth building</t>
  </si>
  <si>
    <t xml:space="preserve">TOTAL OUTFLOW</t>
  </si>
  <si>
    <t xml:space="preserve">NET BALANCE (Take-Home - Outflow)</t>
  </si>
  <si>
    <t xml:space="preserve">SAVINGS PROJECTION (Optimized Plan)</t>
  </si>
  <si>
    <t xml:space="preserve">Timeframe</t>
  </si>
  <si>
    <t xml:space="preserve">Monthly Savings</t>
  </si>
  <si>
    <t xml:space="preserve">Total Saved (USD)</t>
  </si>
  <si>
    <t xml:space="preserve">In INR (@92.33)</t>
  </si>
  <si>
    <t xml:space="preserve">1 Year</t>
  </si>
  <si>
    <t xml:space="preserve">Conservative estimate</t>
  </si>
  <si>
    <t xml:space="preserve">2 Years</t>
  </si>
  <si>
    <t xml:space="preserve">~7% annual growth assumed</t>
  </si>
  <si>
    <t xml:space="preserve">5 Years</t>
  </si>
  <si>
    <t xml:space="preserve">With avg 7% market return</t>
  </si>
  <si>
    <t xml:space="preserve">10 Years</t>
  </si>
  <si>
    <t xml:space="preserve">Long-term compounding</t>
  </si>
  <si>
    <t xml:space="preserve">QUICK WINS — Action Items</t>
  </si>
  <si>
    <t xml:space="preserve">Action</t>
  </si>
  <si>
    <t xml:space="preserve">Impact</t>
  </si>
  <si>
    <t xml:space="preserve">How</t>
  </si>
  <si>
    <t xml:space="preserve">Effort</t>
  </si>
  <si>
    <t xml:space="preserve">🟢 Cancel Nibble</t>
  </si>
  <si>
    <t xml:space="preserve">$8/mo saved</t>
  </si>
  <si>
    <t xml:space="preserve">Do this today</t>
  </si>
  <si>
    <t xml:space="preserve">Easy</t>
  </si>
  <si>
    <t xml:space="preserve">🟡 Grocery budget → $500</t>
  </si>
  <si>
    <t xml:space="preserve">$150/mo saved</t>
  </si>
  <si>
    <t xml:space="preserve">Meal prep Sundays</t>
  </si>
  <si>
    <t xml:space="preserve">Medium</t>
  </si>
  <si>
    <t xml:space="preserve">🟡 Travel → $200</t>
  </si>
  <si>
    <t xml:space="preserve">$100/mo saved</t>
  </si>
  <si>
    <t xml:space="preserve">Plan trips in advance</t>
  </si>
  <si>
    <t xml:space="preserve">🟡 Misc → $150</t>
  </si>
  <si>
    <t xml:space="preserve">$50/mo saved</t>
  </si>
  <si>
    <t xml:space="preserve">Use envelope budgeting</t>
  </si>
  <si>
    <t xml:space="preserve">🔵 Savings → $1,800</t>
  </si>
  <si>
    <t xml:space="preserve">Fixes $322 deficit</t>
  </si>
  <si>
    <t xml:space="preserve">Restore to $2K when expenses drop</t>
  </si>
  <si>
    <t xml:space="preserve">Strategic</t>
  </si>
  <si>
    <t xml:space="preserve">🔴 Track actuals vs budget</t>
  </si>
  <si>
    <t xml:space="preserve">Awareness</t>
  </si>
  <si>
    <t xml:space="preserve">Update this sheet monthly</t>
  </si>
  <si>
    <t xml:space="preserve">Habit</t>
  </si>
  <si>
    <t xml:space="preserve">💼 Optimized Investment Strategy — Pranit | AGGRESSIVE Risk | &lt;10yr US Horizon</t>
  </si>
  <si>
    <t xml:space="preserve">Monthly Take-Home: $5,222.38  |  Goal: Long-Term Wealth  |  Risk: Aggressive  |  Horizon: &lt;10 yrs in USA, then India</t>
  </si>
  <si>
    <t xml:space="preserve">⚠️  ROTH IRA NOTE: With &lt;10yr US horizon, Roth IRA is RISKY — early withdrawal penalties apply on earnings before age 59½. Contributions (not gains) can be withdrawn penalty-free, but gains cannot. Consider a taxable brokerage instead for flexibility.</t>
  </si>
  <si>
    <t xml:space="preserve">RECOMMENDED MONTHLY ALLOCATION — AGGRESSIVE GROWTH, NO HYSA</t>
  </si>
  <si>
    <t xml:space="preserve">Vehicle</t>
  </si>
  <si>
    <t xml:space="preserve">Monthly ($)</t>
  </si>
  <si>
    <t xml:space="preserve">% of Invested</t>
  </si>
  <si>
    <t xml:space="preserve">Expected Return</t>
  </si>
  <si>
    <t xml:space="preserve">Rationale</t>
  </si>
  <si>
    <t xml:space="preserve">🏦 Roth 401K</t>
  </si>
  <si>
    <t xml:space="preserve">S&amp;P 500 index fund</t>
  </si>
  <si>
    <t xml:space="preserve">10–12% (aggressive allocation)</t>
  </si>
  <si>
    <t xml:space="preserve">Tax-free growth; keep even if leaving USA</t>
  </si>
  <si>
    <t xml:space="preserve">🔴 Non-negotiable</t>
  </si>
  <si>
    <t xml:space="preserve">📋 Voluntary 401K</t>
  </si>
  <si>
    <t xml:space="preserve">Pre-tax contributions</t>
  </si>
  <si>
    <t xml:space="preserve">10–12%</t>
  </si>
  <si>
    <t xml:space="preserve">Reduces taxable income now; rollover to IRA on exit</t>
  </si>
  <si>
    <t xml:space="preserve">📈 US Growth ETFs</t>
  </si>
  <si>
    <t xml:space="preserve">QQQ (Nasdaq 100) — aggressive</t>
  </si>
  <si>
    <t xml:space="preserve">12–15% historically</t>
  </si>
  <si>
    <t xml:space="preserve">Tech-heavy, high growth, taxable brokerage</t>
  </si>
  <si>
    <t xml:space="preserve">🌏 Intl + EM ETFs</t>
  </si>
  <si>
    <t xml:space="preserve">VWO + EEM (Emerging Markets)</t>
  </si>
  <si>
    <t xml:space="preserve">8–12%</t>
  </si>
  <si>
    <t xml:space="preserve">India/Asia exposure — aligns with your return to IN</t>
  </si>
  <si>
    <t xml:space="preserve">🟠 High</t>
  </si>
  <si>
    <t xml:space="preserve">🇮🇳 India Loan Payoff</t>
  </si>
  <si>
    <t xml:space="preserve">Extra remittance — principal prepay</t>
  </si>
  <si>
    <t xml:space="preserve">9.8% guaranteed</t>
  </si>
  <si>
    <t xml:space="preserve">Best risk-free return; saves lakhs in interest</t>
  </si>
  <si>
    <t xml:space="preserve">⚡ Individual Stocks</t>
  </si>
  <si>
    <t xml:space="preserve">High-conviction picks (5–10 stocks)</t>
  </si>
  <si>
    <t xml:space="preserve">15%+ target (higher risk)</t>
  </si>
  <si>
    <t xml:space="preserve">Aggressive upside; size position carefully</t>
  </si>
  <si>
    <t xml:space="preserve">🟡 Optional</t>
  </si>
  <si>
    <t xml:space="preserve">💵 Cash Buffer</t>
  </si>
  <si>
    <t xml:space="preserve">Checking account only (1 mo expenses)</t>
  </si>
  <si>
    <t xml:space="preserve">0% — liquid safety net</t>
  </si>
  <si>
    <t xml:space="preserve">No HYSA; just keep ~$2.5K liquid at all times</t>
  </si>
  <si>
    <t xml:space="preserve">🟢 Keep lean</t>
  </si>
  <si>
    <t xml:space="preserve">TOTAL INVESTED</t>
  </si>
  <si>
    <t xml:space="preserve">AGGRESSIVE PORTFOLIO SPLIT — Where Your ETF/Stock Money Goes</t>
  </si>
  <si>
    <t xml:space="preserve">Asset</t>
  </si>
  <si>
    <t xml:space="preserve">Ticker</t>
  </si>
  <si>
    <t xml:space="preserve">Allocation %</t>
  </si>
  <si>
    <t xml:space="preserve">Monthly $</t>
  </si>
  <si>
    <t xml:space="preserve">Type</t>
  </si>
  <si>
    <t xml:space="preserve">Why This</t>
  </si>
  <si>
    <t xml:space="preserve">Risk Level</t>
  </si>
  <si>
    <t xml:space="preserve">Nasdaq 100</t>
  </si>
  <si>
    <t xml:space="preserve">QQQ</t>
  </si>
  <si>
    <t xml:space="preserve">50%</t>
  </si>
  <si>
    <t xml:space="preserve">US Growth ETF</t>
  </si>
  <si>
    <t xml:space="preserve">Top 100 tech/growth companies — high return historically</t>
  </si>
  <si>
    <t xml:space="preserve">S&amp;P 500</t>
  </si>
  <si>
    <t xml:space="preserve">VOO</t>
  </si>
  <si>
    <t xml:space="preserve">20%</t>
  </si>
  <si>
    <t xml:space="preserve">US Blend ETF</t>
  </si>
  <si>
    <t xml:space="preserve">Core stability within aggressive portfolio</t>
  </si>
  <si>
    <t xml:space="preserve">🟠 Med-High</t>
  </si>
  <si>
    <t xml:space="preserve">Emerging Markets</t>
  </si>
  <si>
    <t xml:space="preserve">VWO</t>
  </si>
  <si>
    <t xml:space="preserve">15%</t>
  </si>
  <si>
    <t xml:space="preserve">Intl ETF</t>
  </si>
  <si>
    <t xml:space="preserve">India, China, Brazil — high growth potential</t>
  </si>
  <si>
    <t xml:space="preserve">Small Cap Growth</t>
  </si>
  <si>
    <t xml:space="preserve">VBK</t>
  </si>
  <si>
    <t xml:space="preserve">10%</t>
  </si>
  <si>
    <t xml:space="preserve">US Small Cap</t>
  </si>
  <si>
    <t xml:space="preserve">Higher volatility, higher upside than large cap</t>
  </si>
  <si>
    <t xml:space="preserve">Individual Stocks</t>
  </si>
  <si>
    <t xml:space="preserve">Picks</t>
  </si>
  <si>
    <t xml:space="preserve">5%</t>
  </si>
  <si>
    <t xml:space="preserve">Single Stocks</t>
  </si>
  <si>
    <t xml:space="preserve">NVDA / MSFT / AMZN — high conviction only</t>
  </si>
  <si>
    <t xml:space="preserve">🔴 Very High</t>
  </si>
  <si>
    <t xml:space="preserve">WEALTH PROJECTION — Aggressive Plan (10% base / 13% bull case)</t>
  </si>
  <si>
    <t xml:space="preserve">Year</t>
  </si>
  <si>
    <t xml:space="preserve">Monthly Invested</t>
  </si>
  <si>
    <t xml:space="preserve">Total Contributed</t>
  </si>
  <si>
    <t xml:space="preserve">Portfolio @ 10%</t>
  </si>
  <si>
    <t xml:space="preserve">Portfolio @ 13%</t>
  </si>
  <si>
    <t xml:space="preserve">India Loan Remaining</t>
  </si>
  <si>
    <t xml:space="preserve">Net Worth Est.</t>
  </si>
  <si>
    <t xml:space="preserve">🛫 EXIT STRATEGY — What Happens When You Leave the USA</t>
  </si>
  <si>
    <t xml:space="preserve">Account</t>
  </si>
  <si>
    <t xml:space="preserve">What To Do On Exit</t>
  </si>
  <si>
    <t xml:space="preserve">Tax Implication</t>
  </si>
  <si>
    <t xml:space="preserve">Recommended Timing</t>
  </si>
  <si>
    <t xml:space="preserve">Roth 401K</t>
  </si>
  <si>
    <t xml:space="preserve">Roll over to Traditional IRA before leaving; keep invested</t>
  </si>
  <si>
    <t xml:space="preserve">10% penalty on early withdrawal — DO NOT cash out</t>
  </si>
  <si>
    <t xml:space="preserve">Leave invested, withdraw at 59½ or roll over</t>
  </si>
  <si>
    <t xml:space="preserve">Taxable Brokerage</t>
  </si>
  <si>
    <t xml:space="preserve">Sell before leaving OR keep open (Fidelity allows non-residents)</t>
  </si>
  <si>
    <t xml:space="preserve">Capital gains tax applies — plan exit year carefully</t>
  </si>
  <si>
    <t xml:space="preserve">Sell in a low-income year for lower cap gains rate</t>
  </si>
  <si>
    <t xml:space="preserve">Liquidate before exit if position is large</t>
  </si>
  <si>
    <t xml:space="preserve">Short-term vs long-term cap gains — hold &gt;1yr if possible</t>
  </si>
  <si>
    <t xml:space="preserve">12 months before planned departure</t>
  </si>
  <si>
    <t xml:space="preserve">India Loan</t>
  </si>
  <si>
    <t xml:space="preserve">Ideally fully paid off before return</t>
  </si>
  <si>
    <t xml:space="preserve">No US tax implication — INR debt</t>
  </si>
  <si>
    <t xml:space="preserve">Target payoff by year 7–8</t>
  </si>
  <si>
    <t xml:space="preserve">401K (voluntary)</t>
  </si>
  <si>
    <t xml:space="preserve">Roll into IRA; keep invested in US markets</t>
  </si>
  <si>
    <t xml:space="preserve">Do NOT withdraw — 10% penalty + income tax</t>
  </si>
  <si>
    <t xml:space="preserve">Rollover within 60 days of leaving employer</t>
  </si>
  <si>
    <t xml:space="preserve">📋 30-DAY ACTION PLAN</t>
  </si>
  <si>
    <t xml:space="preserve">#</t>
  </si>
  <si>
    <t xml:space="preserve">Platform</t>
  </si>
  <si>
    <t xml:space="preserve">Time</t>
  </si>
  <si>
    <t xml:space="preserve">Deadline</t>
  </si>
  <si>
    <t xml:space="preserve">Open taxable brokerage account</t>
  </si>
  <si>
    <t xml:space="preserve">Fidelity or Schwab</t>
  </si>
  <si>
    <t xml:space="preserve">20 mins</t>
  </si>
  <si>
    <t xml:space="preserve">🔴 Foundation for ETF investing</t>
  </si>
  <si>
    <t xml:space="preserve">This week</t>
  </si>
  <si>
    <t xml:space="preserve">Auto-invest $400/mo into QQQ</t>
  </si>
  <si>
    <t xml:space="preserve">Fidelity auto-invest</t>
  </si>
  <si>
    <t xml:space="preserve">5 mins</t>
  </si>
  <si>
    <t xml:space="preserve">Aggressive growth — set and forget</t>
  </si>
  <si>
    <t xml:space="preserve">Same day as #1</t>
  </si>
  <si>
    <t xml:space="preserve">Add VWO $200/mo (EM exposure)</t>
  </si>
  <si>
    <t xml:space="preserve">Same brokerage</t>
  </si>
  <si>
    <t xml:space="preserve">India/Asia hedge for your return home</t>
  </si>
  <si>
    <t xml:space="preserve">Increase India remittance by $400</t>
  </si>
  <si>
    <t xml:space="preserve">Wise / bank wire</t>
  </si>
  <si>
    <t xml:space="preserve">10 mins</t>
  </si>
  <si>
    <t xml:space="preserve">9.8% guaranteed return, saves ₹ lakhs</t>
  </si>
  <si>
    <t xml:space="preserve">This month</t>
  </si>
  <si>
    <t xml:space="preserve">Cancel Nibble subscription</t>
  </si>
  <si>
    <t xml:space="preserve">App settings</t>
  </si>
  <si>
    <t xml:space="preserve">$8/mo saved instantly</t>
  </si>
  <si>
    <t xml:space="preserve">Today</t>
  </si>
  <si>
    <t xml:space="preserve">Research 3 high-conviction stocks</t>
  </si>
  <si>
    <t xml:space="preserve">Seeking Alpha / CNBC</t>
  </si>
  <si>
    <t xml:space="preserve">2 hrs</t>
  </si>
  <si>
    <t xml:space="preserve">Build watchlist before buying</t>
  </si>
  <si>
    <t xml:space="preserve">Week 2</t>
  </si>
  <si>
    <t xml:space="preserve">Consult a CPA on H1B exit tax planning</t>
  </si>
  <si>
    <t xml:space="preserve">CPA with expat experience</t>
  </si>
  <si>
    <t xml:space="preserve">1 hr</t>
  </si>
  <si>
    <t xml:space="preserve">Avoid costly mistakes on 401K/brokerage</t>
  </si>
  <si>
    <t xml:space="preserve">Month 1</t>
  </si>
  <si>
    <t xml:space="preserve">Monthly Overview </t>
  </si>
  <si>
    <t xml:space="preserve">Biweekly pay </t>
  </si>
  <si>
    <t xml:space="preserve">Expense </t>
  </si>
  <si>
    <t xml:space="preserve">Value </t>
  </si>
  <si>
    <t xml:space="preserve">Necessity </t>
  </si>
  <si>
    <t xml:space="preserve">August </t>
  </si>
  <si>
    <t xml:space="preserve">Recurring ( Y/N ) </t>
  </si>
  <si>
    <t xml:space="preserve">Federal Tax</t>
  </si>
  <si>
    <t xml:space="preserve">Medicare Tax </t>
  </si>
  <si>
    <t xml:space="preserve">Social Security Tax</t>
  </si>
  <si>
    <t xml:space="preserve">Base Rent </t>
  </si>
  <si>
    <t xml:space="preserve">Max</t>
  </si>
  <si>
    <t xml:space="preserve">Utah State Tax</t>
  </si>
  <si>
    <t xml:space="preserve">Utilites </t>
  </si>
  <si>
    <t xml:space="preserve">Y</t>
  </si>
  <si>
    <t xml:space="preserve">Groceries </t>
  </si>
  <si>
    <t xml:space="preserve">Max </t>
  </si>
  <si>
    <t xml:space="preserve">After Tax ( H1B ) income </t>
  </si>
  <si>
    <t xml:space="preserve">Subscriptons </t>
  </si>
  <si>
    <t xml:space="preserve">Mid </t>
  </si>
  <si>
    <t xml:space="preserve">Monthly Take Home </t>
  </si>
  <si>
    <t xml:space="preserve">Travel </t>
  </si>
  <si>
    <t xml:space="preserve">Misc Purchase </t>
  </si>
  <si>
    <t xml:space="preserve">Monthly Allowance 
Post savings </t>
  </si>
  <si>
    <t xml:space="preserve">Cycle </t>
  </si>
  <si>
    <t xml:space="preserve">High</t>
  </si>
  <si>
    <t xml:space="preserve">After Tax ( Non- H1B ) income </t>
  </si>
  <si>
    <t xml:space="preserve">Total Remaning 
Balance </t>
  </si>
  <si>
    <t xml:space="preserve">Total Expense </t>
  </si>
  <si>
    <t xml:space="preserve">Total Saving Per Month </t>
  </si>
  <si>
    <t xml:space="preserve">Per Year </t>
  </si>
  <si>
    <t xml:space="preserve">USD/INR </t>
  </si>
  <si>
    <t xml:space="preserve">Investments </t>
  </si>
  <si>
    <t xml:space="preserve">Per Year Savings
 in INR</t>
  </si>
  <si>
    <t xml:space="preserve">Insurance </t>
  </si>
  <si>
    <t xml:space="preserve">Savings </t>
  </si>
  <si>
    <t xml:space="preserve">Rainy Day Fund Contri + 401K</t>
  </si>
  <si>
    <t xml:space="preserve">ETFs </t>
  </si>
  <si>
    <t xml:space="preserve"> Max </t>
  </si>
  <si>
    <t xml:space="preserve">2 years </t>
  </si>
  <si>
    <t xml:space="preserve">5 years </t>
  </si>
  <si>
    <t xml:space="preserve">10 years </t>
  </si>
  <si>
    <t xml:space="preserve">15 years </t>
  </si>
  <si>
    <t xml:space="preserve">(empty)</t>
  </si>
  <si>
    <t xml:space="preserve">Date</t>
  </si>
  <si>
    <t xml:space="preserve">Item</t>
  </si>
  <si>
    <t xml:space="preserve">Total</t>
  </si>
  <si>
    <t xml:space="preserve">Split</t>
  </si>
  <si>
    <t xml:space="preserve">Paid by </t>
  </si>
  <si>
    <t xml:space="preserve">Rent</t>
  </si>
  <si>
    <t xml:space="preserve">Rohan </t>
  </si>
  <si>
    <t xml:space="preserve">Light Bill</t>
  </si>
  <si>
    <t xml:space="preserve">Pranit </t>
  </si>
  <si>
    <t xml:space="preserve">Gas</t>
  </si>
  <si>
    <t xml:space="preserve">Saving and loan repayment strategy </t>
  </si>
  <si>
    <t xml:space="preserve">Starting amount ( take home ) </t>
  </si>
  <si>
    <t xml:space="preserve">roth 401k </t>
  </si>
  <si>
    <t xml:space="preserve">voluntary </t>
  </si>
  <si>
    <t xml:space="preserve">Total complusive savings </t>
  </si>
  <si>
    <t xml:space="preserve">Calculated expenses </t>
  </si>
  <si>
    <t xml:space="preserve">Remaining balance </t>
  </si>
  <si>
    <t xml:space="preserve">Amount sent to india </t>
  </si>
  <si>
    <t xml:space="preserve">Marcus </t>
  </si>
  <si>
    <t xml:space="preserve">Net balance per month </t>
  </si>
  <si>
    <t xml:space="preserve">Groceries What I need and where to order from </t>
  </si>
  <si>
    <t xml:space="preserve">Food Orders </t>
  </si>
  <si>
    <t xml:space="preserve">Common</t>
  </si>
  <si>
    <t xml:space="preserve">People Involved </t>
  </si>
  <si>
    <t xml:space="preserve">Price</t>
  </si>
  <si>
    <t xml:space="preserve">Price per head </t>
  </si>
  <si>
    <t xml:space="preserve">Paid By </t>
  </si>
  <si>
    <t xml:space="preserve">Item </t>
  </si>
  <si>
    <t xml:space="preserve">Place to get </t>
  </si>
  <si>
    <t xml:space="preserve">Frequency </t>
  </si>
  <si>
    <t xml:space="preserve">Price </t>
  </si>
  <si>
    <t xml:space="preserve">Total cost </t>
  </si>
  <si>
    <t xml:space="preserve">tomatoes </t>
  </si>
  <si>
    <t xml:space="preserve">Walmart </t>
  </si>
  <si>
    <t xml:space="preserve">Weekly </t>
  </si>
  <si>
    <t xml:space="preserve">Ground Chicken </t>
  </si>
  <si>
    <t xml:space="preserve">Milk </t>
  </si>
  <si>
    <t xml:space="preserve">biweekly</t>
  </si>
  <si>
    <t xml:space="preserve">Prego Pasta sauce</t>
  </si>
  <si>
    <t xml:space="preserve">Red onions </t>
  </si>
  <si>
    <t xml:space="preserve">Cuties oranges</t>
  </si>
  <si>
    <t xml:space="preserve">Chicken Breast </t>
  </si>
  <si>
    <t xml:space="preserve">Pasta </t>
  </si>
  <si>
    <t xml:space="preserve">Greek Yoghurt</t>
  </si>
  <si>
    <t xml:space="preserve">Biweekly</t>
  </si>
  <si>
    <t xml:space="preserve">Bread a</t>
  </si>
  <si>
    <t xml:space="preserve">Shared Misc Groc items </t>
  </si>
  <si>
    <t xml:space="preserve">Eggs </t>
  </si>
  <si>
    <t xml:space="preserve">Fruits misc q</t>
  </si>
  <si>
    <t xml:space="preserve">Lunch </t>
  </si>
  <si>
    <t xml:space="preserve">Cabs </t>
  </si>
  <si>
    <t xml:space="preserve">Monthly Amount </t>
  </si>
  <si>
    <t xml:space="preserve">Necessity Usage Wise</t>
  </si>
  <si>
    <t xml:space="preserve">nibble </t>
  </si>
  <si>
    <t xml:space="preserve">not essential </t>
  </si>
  <si>
    <t xml:space="preserve">Fithub cal track </t>
  </si>
  <si>
    <t xml:space="preserve">essential </t>
  </si>
  <si>
    <t xml:space="preserve">iCloud+</t>
  </si>
  <si>
    <t xml:space="preserve">YT prem </t>
  </si>
  <si>
    <t xml:space="preserve">Amazon Prime</t>
  </si>
  <si>
    <t xml:space="preserve">Mobile 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</si>
</sst>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"/>
    <numFmt numFmtId="166" formatCode="&quot;+$&quot;#,##0;&quot;-$&quot;#,##0;\-"/>
    <numFmt numFmtId="167" formatCode="\$#,##0.00"/>
    <numFmt numFmtId="168" formatCode="&quot;+$&quot;#,##0;&quot;-$&quot;#,##0"/>
    <numFmt numFmtId="169" formatCode="&quot;+$&quot;#,##0.00;&quot;-$&quot;#,##0.00"/>
    <numFmt numFmtId="170" formatCode="\$#,##0"/>
    <numFmt numFmtId="171" formatCode="&quot;+$&quot;#,##0;&quot;-$&quot;#,##0"/>
    <numFmt numFmtId="172" formatCode="&quot;+$&quot;#,##0.00;&quot;-$&quot;#,##0.00"/>
    <numFmt numFmtId="173" formatCode="\₹#,##0"/>
    <numFmt numFmtId="174" formatCode="0.0%"/>
    <numFmt numFmtId="175" formatCode="_(\$* #,##0.00_);_(\$* \(#,##0.00\);_(\$* \-??_);_(@_)"/>
    <numFmt numFmtId="176" formatCode="\$#,##0.00"/>
    <numFmt numFmtId="177" formatCode="mm/dd"/>
  </numFmts>
  <fonts count="4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9"/>
      <color rgb="FF7B2C2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sz val="11"/>
      <name val="&lt;openpyxl.styles.fills.PatternFill object&gt;&#10;Parameters:&#10;patternType='solid', fgColor=&lt;openpyxl.styles.colors.Color object&gt;&#10;Parameters:&#10;rgb='00FFD700', indexed=None, auto=None, theme=None, tint=0.0, type='rgb', bgColor=&lt;openpyxl.styles.colors.Color object&gt;&#10;Parameters:&#10;rgb='00000000', indexed=None, auto=None, theme=None, tint=0.0, type='rgb'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BF6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538135"/>
      <name val="Arial"/>
      <family val="0"/>
      <charset val="1"/>
    </font>
    <font>
      <b val="true"/>
      <sz val="10"/>
      <color rgb="FF4472C4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7B2C2C"/>
      <name val="Arial"/>
      <family val="0"/>
      <charset val="1"/>
    </font>
    <font>
      <sz val="11"/>
      <name val="&lt;openpyxl.styles.fills.PatternFill object&gt;&#10;Parameters:&#10;patternType='solid', fgColor=&lt;openpyxl.styles.colors.Color object&gt;&#10;Parameters:&#10;rgb='00D9D9D9', indexed=None, auto=None, theme=None, tint=0.0, type='rgb', bgColor=&lt;openpyxl.styles.colors.Color object&gt;&#10;Parameters:&#10;rgb='00000000', indexed=None, auto=None, theme=None, tint=0.0, type='rgb'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375623"/>
      <name val="Arial"/>
      <family val="0"/>
      <charset val="1"/>
    </font>
    <font>
      <sz val="11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  <font>
      <u val="single"/>
      <sz val="11"/>
      <color rgb="FF0000FF"/>
      <name val="Roboto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434343"/>
      <name val="Roboto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E2F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2E7D32"/>
        <bgColor rgb="FF356854"/>
      </patternFill>
    </fill>
    <fill>
      <patternFill patternType="solid">
        <fgColor rgb="FFFAFAFA"/>
        <bgColor rgb="FFF6F8F9"/>
      </patternFill>
    </fill>
    <fill>
      <patternFill patternType="solid">
        <fgColor rgb="FFEEF6E8"/>
        <bgColor rgb="FFF5F5F5"/>
      </patternFill>
    </fill>
    <fill>
      <patternFill patternType="solid">
        <fgColor rgb="FFE2E2E2"/>
        <bgColor rgb="FFD9E2F3"/>
      </patternFill>
    </fill>
    <fill>
      <patternFill patternType="solid">
        <fgColor rgb="FFD5EAD5"/>
        <bgColor rgb="FFE2EFDA"/>
      </patternFill>
    </fill>
    <fill>
      <patternFill patternType="solid">
        <fgColor rgb="FFBF6000"/>
        <bgColor rgb="FF7B3F00"/>
      </patternFill>
    </fill>
    <fill>
      <patternFill patternType="solid">
        <fgColor rgb="FF1F4E79"/>
        <bgColor rgb="FF1F3864"/>
      </patternFill>
    </fill>
    <fill>
      <patternFill patternType="solid">
        <fgColor rgb="FF538135"/>
        <bgColor rgb="FF2E7D32"/>
      </patternFill>
    </fill>
    <fill>
      <patternFill patternType="solid">
        <fgColor rgb="FFF5F5F5"/>
        <bgColor rgb="FFF6F8F9"/>
      </patternFill>
    </fill>
    <fill>
      <patternFill patternType="solid">
        <fgColor rgb="FF4472C4"/>
        <bgColor rgb="FF2E75B6"/>
      </patternFill>
    </fill>
    <fill>
      <patternFill patternType="solid">
        <fgColor rgb="FF7B3F00"/>
        <bgColor rgb="FF7B2C2C"/>
      </patternFill>
    </fill>
    <fill>
      <patternFill patternType="solid">
        <fgColor rgb="FFC00000"/>
        <bgColor rgb="FF800000"/>
      </patternFill>
    </fill>
    <fill>
      <patternFill patternType="solid">
        <fgColor rgb="FFFFD700"/>
        <bgColor rgb="FFFFFF00"/>
      </patternFill>
    </fill>
    <fill>
      <patternFill patternType="solid">
        <fgColor rgb="FFFF6B6B"/>
        <bgColor rgb="FFFF9900"/>
      </patternFill>
    </fill>
    <fill>
      <patternFill patternType="solid">
        <fgColor rgb="FFD6E4F0"/>
        <bgColor rgb="FFD9E2F3"/>
      </patternFill>
    </fill>
    <fill>
      <patternFill patternType="solid">
        <fgColor rgb="FFE2EFDA"/>
        <bgColor rgb="FFD5EAD5"/>
      </patternFill>
    </fill>
    <fill>
      <patternFill patternType="solid">
        <fgColor rgb="FFD9D9D9"/>
        <bgColor rgb="FFE2E2E2"/>
      </patternFill>
    </fill>
    <fill>
      <patternFill patternType="solid">
        <fgColor rgb="FFFFFF99"/>
        <bgColor rgb="FFFFF2CC"/>
      </patternFill>
    </fill>
    <fill>
      <patternFill patternType="solid">
        <fgColor rgb="FF7B2C2C"/>
        <bgColor rgb="FF7B3F00"/>
      </patternFill>
    </fill>
    <fill>
      <patternFill patternType="solid">
        <fgColor rgb="FFFCE4D6"/>
        <bgColor rgb="FFFFF2CC"/>
      </patternFill>
    </fill>
    <fill>
      <patternFill patternType="solid">
        <fgColor rgb="FF356854"/>
        <bgColor rgb="FF2E7D32"/>
      </patternFill>
    </fill>
    <fill>
      <patternFill patternType="solid">
        <fgColor rgb="FFFFFFFF"/>
        <bgColor rgb="FFFAFAFA"/>
      </patternFill>
    </fill>
    <fill>
      <patternFill patternType="solid">
        <fgColor rgb="FFF6F8F9"/>
        <bgColor rgb="FFFAFAF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3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3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5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21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6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3" fillId="2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2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2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9" fillId="28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356854"/>
          <bgColor rgb="FF000000"/>
        </patternFill>
      </fill>
    </dxf>
    <dxf>
      <fill>
        <patternFill patternType="solid">
          <fgColor rgb="FFF6F8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38135"/>
      <rgbColor rgb="FF800080"/>
      <rgbColor rgb="FF356854"/>
      <rgbColor rgb="FFBFBFBF"/>
      <rgbColor rgb="FF808080"/>
      <rgbColor rgb="FFF6F8F9"/>
      <rgbColor rgb="FF7B2C2C"/>
      <rgbColor rgb="FFFFF2CC"/>
      <rgbColor rgb="FFE2EFDA"/>
      <rgbColor rgb="FF660066"/>
      <rgbColor rgb="FFFF6B6B"/>
      <rgbColor rgb="FF2E75B6"/>
      <rgbColor rgb="FFD9D9D9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EF6E8"/>
      <rgbColor rgb="FFD5EAD5"/>
      <rgbColor rgb="FFFFFF99"/>
      <rgbColor rgb="FFD6E4F0"/>
      <rgbColor rgb="FFE2E2E2"/>
      <rgbColor rgb="FFD9E2F3"/>
      <rgbColor rgb="FFFCE4D6"/>
      <rgbColor rgb="FF4472C4"/>
      <rgbColor rgb="FF33CCCC"/>
      <rgbColor rgb="FF99CC00"/>
      <rgbColor rgb="FFFFD700"/>
      <rgbColor rgb="FFFF9900"/>
      <rgbColor rgb="FFBF6000"/>
      <rgbColor rgb="FF666666"/>
      <rgbColor rgb="FFFAFAFA"/>
      <rgbColor rgb="FF1F3864"/>
      <rgbColor rgb="FF2E7D32"/>
      <rgbColor rgb="FF003300"/>
      <rgbColor rgb="FF375623"/>
      <rgbColor rgb="FF7B3F00"/>
      <rgbColor rgb="FF993366"/>
      <rgbColor rgb="FF1F4E7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" createdVersion="3">
  <cacheSource type="worksheet">
    <worksheetSource ref="O19:P20" sheet="Complete breakdown "/>
  </cacheSource>
  <cacheFields count="2">
    <cacheField name="USD/INR " numFmtId="0">
      <sharedItems count="1">
        <s v="Per Year Savings&#10; in INR"/>
      </sharedItems>
    </cacheField>
    <cacheField name="Column P" numFmtId="0">
      <sharedItems containsSemiMixedTypes="0" containsString="0" containsNumber="1" minValue="3179879.64" maxValue="3179879.64" count="1">
        <n v="3179879.6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Complete breakdown 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C29:C30" firstHeaderRow="1" firstDataRow="1" firstDataCol="0"/>
  <pivotFields count="2">
    <pivotField compact="0" showAll="0" outline="0"/>
    <pivotField compact="0" showAll="0"/>
  </pivot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E3:I27" headerRowCount="1" totalsRowCount="0" totalsRowShown="0">
  <tableColumns count="5">
    <tableColumn id="1" name="Expense "/>
    <tableColumn id="2" name="Value "/>
    <tableColumn id="3" name="Necessity "/>
    <tableColumn id="4" name="August "/>
    <tableColumn id="5" name="Recurring ( Y/N ) "/>
  </tableColumns>
</table>
</file>

<file path=xl/tables/table2.xml><?xml version="1.0" encoding="utf-8"?>
<table xmlns="http://schemas.openxmlformats.org/spreadsheetml/2006/main" id="2" name="Table_1" displayName="Table_1" ref="L4:Q9" headerRowCount="1" totalsRowCount="0" totalsRowShown="0">
  <tableColumns count="6">
    <tableColumn id="1" name="Item"/>
    <tableColumn id="2" name="Common"/>
    <tableColumn id="3" name="People Involved "/>
    <tableColumn id="4" name="Price"/>
    <tableColumn id="5" name="Price per head "/>
    <tableColumn id="6" name="Paid By "/>
  </tableColumns>
</table>
</file>

<file path=xl/tables/table3.xml><?xml version="1.0" encoding="utf-8"?>
<table xmlns="http://schemas.openxmlformats.org/spreadsheetml/2006/main" id="3" name="Table_2" displayName="Table_2" ref="L17:Q25" headerRowCount="1" totalsRowCount="0" totalsRowShown="0">
  <tableColumns count="6">
    <tableColumn id="1" name="Item"/>
    <tableColumn id="2" name="Common"/>
    <tableColumn id="3" name="People Involved "/>
    <tableColumn id="4" name="Price"/>
    <tableColumn id="5" name="Price per head "/>
    <tableColumn id="6" name="Paid By "/>
  </tableColumns>
</table>
</file>

<file path=xl/tables/table4.xml><?xml version="1.0" encoding="utf-8"?>
<table xmlns="http://schemas.openxmlformats.org/spreadsheetml/2006/main" id="4" name="Table_3" displayName="Table_3" ref="D21:I26" headerRowCount="1" totalsRowCount="0" totalsRowShown="0">
  <tableColumns count="6">
    <tableColumn id="1" name="Item"/>
    <tableColumn id="2" name="Common"/>
    <tableColumn id="3" name="People Involved "/>
    <tableColumn id="4" name="Price"/>
    <tableColumn id="5" name="Price per head "/>
    <tableColumn id="6" name="Paid By "/>
  </tableColumns>
</table>
</file>

<file path=xl/tables/table5.xml><?xml version="1.0" encoding="utf-8"?>
<table xmlns="http://schemas.openxmlformats.org/spreadsheetml/2006/main" id="5" name="Table_4" displayName="Table_4" ref="L30:Q31" headerRowCount="1" totalsRowCount="0" totalsRowShown="0">
  <tableColumns count="6">
    <tableColumn id="1" name="Item"/>
    <tableColumn id="2" name="Common"/>
    <tableColumn id="3" name="People Involved "/>
    <tableColumn id="4" name="Price"/>
    <tableColumn id="5" name="Price per head "/>
    <tableColumn id="6" name="Paid By 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u/1/d/1Itg44Yzu7M1wEx3MGGrMPryVH2VoA1_ACfm_8jBBJMc/edit" TargetMode="External"/><Relationship Id="rId2" Type="http://schemas.openxmlformats.org/officeDocument/2006/relationships/table" Target="../tables/table1.xml"/><Relationship Id="rId3" Type="http://schemas.openxmlformats.org/officeDocument/2006/relationships/pivotTable" Target="../pivotTables/pivot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customFormat="false" ht="18" hidden="false" customHeight="true" outlineLevel="0" collapsed="false">
      <c r="A5" s="6" t="s">
        <v>9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7" t="s">
        <v>10</v>
      </c>
      <c r="B6" s="8" t="n">
        <v>5222.38</v>
      </c>
      <c r="C6" s="9" t="n">
        <v>5222.38</v>
      </c>
      <c r="D6" s="10" t="n">
        <v>0</v>
      </c>
      <c r="E6" s="11" t="s">
        <v>11</v>
      </c>
      <c r="F6" s="12" t="s">
        <v>12</v>
      </c>
    </row>
    <row r="7" customFormat="false" ht="15.75" hidden="false" customHeight="true" outlineLevel="0" collapsed="false">
      <c r="A7" s="13" t="s">
        <v>13</v>
      </c>
      <c r="B7" s="14" t="n">
        <v>5222.38</v>
      </c>
      <c r="C7" s="15" t="n">
        <v>5222.38</v>
      </c>
      <c r="D7" s="16" t="n">
        <v>0</v>
      </c>
      <c r="E7" s="17" t="s">
        <v>11</v>
      </c>
      <c r="F7" s="18"/>
    </row>
    <row r="8" customFormat="false" ht="18" hidden="false" customHeight="true" outlineLevel="0" collapsed="false">
      <c r="A8" s="19" t="s">
        <v>14</v>
      </c>
      <c r="B8" s="19"/>
      <c r="C8" s="19"/>
      <c r="D8" s="19"/>
      <c r="E8" s="19"/>
      <c r="F8" s="19"/>
    </row>
    <row r="9" customFormat="false" ht="15" hidden="false" customHeight="true" outlineLevel="0" collapsed="false">
      <c r="A9" s="7" t="s">
        <v>15</v>
      </c>
      <c r="B9" s="8" t="n">
        <v>1007</v>
      </c>
      <c r="C9" s="9" t="n">
        <v>1007</v>
      </c>
      <c r="D9" s="10" t="n">
        <v>0</v>
      </c>
      <c r="E9" s="11" t="s">
        <v>16</v>
      </c>
      <c r="F9" s="12" t="s">
        <v>17</v>
      </c>
    </row>
    <row r="10" customFormat="false" ht="15" hidden="false" customHeight="true" outlineLevel="0" collapsed="false">
      <c r="A10" s="7" t="s">
        <v>18</v>
      </c>
      <c r="B10" s="8" t="n">
        <v>100</v>
      </c>
      <c r="C10" s="9" t="n">
        <v>89</v>
      </c>
      <c r="D10" s="20" t="n">
        <v>-11</v>
      </c>
      <c r="E10" s="11" t="s">
        <v>19</v>
      </c>
      <c r="F10" s="12" t="s">
        <v>20</v>
      </c>
    </row>
    <row r="11" customFormat="false" ht="15" hidden="false" customHeight="true" outlineLevel="0" collapsed="false">
      <c r="A11" s="7" t="s">
        <v>21</v>
      </c>
      <c r="B11" s="8" t="n">
        <v>650</v>
      </c>
      <c r="C11" s="9" t="n">
        <v>500</v>
      </c>
      <c r="D11" s="20" t="n">
        <v>-150</v>
      </c>
      <c r="E11" s="11" t="s">
        <v>22</v>
      </c>
      <c r="F11" s="12" t="s">
        <v>23</v>
      </c>
    </row>
    <row r="12" customFormat="false" ht="15" hidden="false" customHeight="true" outlineLevel="0" collapsed="false">
      <c r="A12" s="7" t="s">
        <v>24</v>
      </c>
      <c r="B12" s="8" t="n">
        <v>75</v>
      </c>
      <c r="C12" s="9" t="n">
        <v>67</v>
      </c>
      <c r="D12" s="20" t="n">
        <v>-8</v>
      </c>
      <c r="E12" s="11" t="s">
        <v>25</v>
      </c>
      <c r="F12" s="12" t="s">
        <v>26</v>
      </c>
    </row>
    <row r="13" customFormat="false" ht="15" hidden="false" customHeight="true" outlineLevel="0" collapsed="false">
      <c r="A13" s="7" t="s">
        <v>27</v>
      </c>
      <c r="B13" s="8" t="n">
        <v>300</v>
      </c>
      <c r="C13" s="9" t="n">
        <v>200</v>
      </c>
      <c r="D13" s="20" t="n">
        <v>-100</v>
      </c>
      <c r="E13" s="11" t="s">
        <v>28</v>
      </c>
      <c r="F13" s="12" t="s">
        <v>29</v>
      </c>
    </row>
    <row r="14" customFormat="false" ht="15" hidden="false" customHeight="true" outlineLevel="0" collapsed="false">
      <c r="A14" s="7" t="s">
        <v>30</v>
      </c>
      <c r="B14" s="8" t="n">
        <v>200</v>
      </c>
      <c r="C14" s="9" t="n">
        <v>150</v>
      </c>
      <c r="D14" s="20" t="n">
        <v>-50</v>
      </c>
      <c r="E14" s="11" t="s">
        <v>31</v>
      </c>
      <c r="F14" s="12" t="s">
        <v>32</v>
      </c>
    </row>
    <row r="15" customFormat="false" ht="15" hidden="false" customHeight="true" outlineLevel="0" collapsed="false">
      <c r="A15" s="7" t="s">
        <v>33</v>
      </c>
      <c r="B15" s="8" t="n">
        <v>263</v>
      </c>
      <c r="C15" s="9" t="n">
        <v>263</v>
      </c>
      <c r="D15" s="10" t="n">
        <v>0</v>
      </c>
      <c r="E15" s="11" t="s">
        <v>34</v>
      </c>
      <c r="F15" s="12" t="s">
        <v>35</v>
      </c>
    </row>
    <row r="16" customFormat="false" ht="15.75" hidden="false" customHeight="true" outlineLevel="0" collapsed="false">
      <c r="A16" s="13" t="s">
        <v>36</v>
      </c>
      <c r="B16" s="14" t="n">
        <v>2595</v>
      </c>
      <c r="C16" s="15" t="n">
        <v>2276</v>
      </c>
      <c r="D16" s="21" t="n">
        <v>-319</v>
      </c>
      <c r="E16" s="17" t="s">
        <v>37</v>
      </c>
      <c r="F16" s="18"/>
    </row>
    <row r="17" customFormat="false" ht="18" hidden="false" customHeight="true" outlineLevel="0" collapsed="false">
      <c r="A17" s="22" t="s">
        <v>38</v>
      </c>
      <c r="B17" s="22"/>
      <c r="C17" s="22"/>
      <c r="D17" s="22"/>
      <c r="E17" s="22"/>
      <c r="F17" s="22"/>
    </row>
    <row r="18" customFormat="false" ht="15" hidden="false" customHeight="true" outlineLevel="0" collapsed="false">
      <c r="A18" s="7" t="s">
        <v>39</v>
      </c>
      <c r="B18" s="8" t="n">
        <v>415</v>
      </c>
      <c r="C18" s="9" t="n">
        <v>415</v>
      </c>
      <c r="D18" s="10" t="n">
        <v>0</v>
      </c>
      <c r="E18" s="11" t="s">
        <v>40</v>
      </c>
      <c r="F18" s="12" t="s">
        <v>41</v>
      </c>
    </row>
    <row r="19" customFormat="false" ht="15" hidden="false" customHeight="true" outlineLevel="0" collapsed="false">
      <c r="A19" s="7" t="s">
        <v>42</v>
      </c>
      <c r="B19" s="8" t="n">
        <v>208</v>
      </c>
      <c r="C19" s="9" t="n">
        <v>208</v>
      </c>
      <c r="D19" s="10" t="n">
        <v>0</v>
      </c>
      <c r="E19" s="11" t="s">
        <v>43</v>
      </c>
      <c r="F19" s="12" t="s">
        <v>44</v>
      </c>
    </row>
    <row r="20" customFormat="false" ht="15" hidden="false" customHeight="true" outlineLevel="0" collapsed="false">
      <c r="A20" s="7" t="s">
        <v>45</v>
      </c>
      <c r="B20" s="8" t="n">
        <v>620</v>
      </c>
      <c r="C20" s="9" t="n">
        <v>620</v>
      </c>
      <c r="D20" s="10" t="n">
        <v>0</v>
      </c>
      <c r="E20" s="11" t="s">
        <v>46</v>
      </c>
      <c r="F20" s="12" t="s">
        <v>47</v>
      </c>
    </row>
    <row r="21" customFormat="false" ht="15" hidden="false" customHeight="true" outlineLevel="0" collapsed="false">
      <c r="A21" s="7" t="s">
        <v>48</v>
      </c>
      <c r="B21" s="8" t="n">
        <v>80</v>
      </c>
      <c r="C21" s="9" t="n">
        <v>80</v>
      </c>
      <c r="D21" s="10" t="n">
        <v>0</v>
      </c>
      <c r="E21" s="11" t="s">
        <v>49</v>
      </c>
      <c r="F21" s="12" t="s">
        <v>50</v>
      </c>
    </row>
    <row r="22" customFormat="false" ht="15.75" hidden="false" customHeight="true" outlineLevel="0" collapsed="false">
      <c r="A22" s="13" t="s">
        <v>51</v>
      </c>
      <c r="B22" s="14" t="n">
        <v>1323</v>
      </c>
      <c r="C22" s="15" t="n">
        <v>1323</v>
      </c>
      <c r="D22" s="16" t="n">
        <v>0</v>
      </c>
      <c r="E22" s="17" t="s">
        <v>52</v>
      </c>
      <c r="F22" s="18"/>
    </row>
    <row r="23" customFormat="false" ht="18" hidden="false" customHeight="true" outlineLevel="0" collapsed="false">
      <c r="A23" s="23" t="s">
        <v>53</v>
      </c>
      <c r="B23" s="23"/>
      <c r="C23" s="23"/>
      <c r="D23" s="23"/>
      <c r="E23" s="23"/>
      <c r="F23" s="23"/>
    </row>
    <row r="24" customFormat="false" ht="15" hidden="false" customHeight="true" outlineLevel="0" collapsed="false">
      <c r="A24" s="7" t="s">
        <v>54</v>
      </c>
      <c r="B24" s="8" t="n">
        <v>250</v>
      </c>
      <c r="C24" s="9" t="n">
        <v>250</v>
      </c>
      <c r="D24" s="10" t="n">
        <v>0</v>
      </c>
      <c r="E24" s="11" t="s">
        <v>55</v>
      </c>
      <c r="F24" s="12" t="s">
        <v>56</v>
      </c>
    </row>
    <row r="25" customFormat="false" ht="15.75" hidden="false" customHeight="true" outlineLevel="0" collapsed="false">
      <c r="A25" s="13" t="s">
        <v>57</v>
      </c>
      <c r="B25" s="14" t="n">
        <v>250</v>
      </c>
      <c r="C25" s="15" t="n">
        <v>250</v>
      </c>
      <c r="D25" s="16" t="n">
        <v>0</v>
      </c>
      <c r="E25" s="17" t="s">
        <v>55</v>
      </c>
      <c r="F25" s="18"/>
    </row>
    <row r="26" customFormat="false" ht="18" hidden="false" customHeight="true" outlineLevel="0" collapsed="false">
      <c r="A26" s="24" t="s">
        <v>58</v>
      </c>
      <c r="B26" s="24"/>
      <c r="C26" s="24"/>
      <c r="D26" s="24"/>
      <c r="E26" s="24"/>
      <c r="F26" s="24"/>
    </row>
    <row r="27" customFormat="false" ht="15" hidden="false" customHeight="true" outlineLevel="0" collapsed="false">
      <c r="A27" s="7" t="s">
        <v>59</v>
      </c>
      <c r="B27" s="8" t="n">
        <v>2000</v>
      </c>
      <c r="C27" s="9" t="n">
        <v>1100</v>
      </c>
      <c r="D27" s="20" t="n">
        <v>-900</v>
      </c>
      <c r="E27" s="11" t="s">
        <v>60</v>
      </c>
      <c r="F27" s="12" t="s">
        <v>61</v>
      </c>
    </row>
    <row r="28" customFormat="false" ht="13.5" hidden="false" customHeight="true" outlineLevel="0" collapsed="false">
      <c r="A28" s="25" t="s">
        <v>62</v>
      </c>
      <c r="B28" s="26" t="n">
        <v>2250</v>
      </c>
      <c r="C28" s="26" t="n">
        <v>2250</v>
      </c>
      <c r="D28" s="27" t="s">
        <v>63</v>
      </c>
      <c r="E28" s="27" t="s">
        <v>63</v>
      </c>
      <c r="F28" s="25" t="s">
        <v>64</v>
      </c>
    </row>
    <row r="29" customFormat="false" ht="15.75" hidden="false" customHeight="true" outlineLevel="0" collapsed="false">
      <c r="A29" s="13" t="s">
        <v>65</v>
      </c>
      <c r="B29" s="14" t="n">
        <v>2000</v>
      </c>
      <c r="C29" s="15" t="n">
        <v>1100</v>
      </c>
      <c r="D29" s="21" t="n">
        <v>-900</v>
      </c>
      <c r="E29" s="17" t="s">
        <v>60</v>
      </c>
      <c r="F29" s="18"/>
    </row>
    <row r="30" customFormat="false" ht="18" hidden="false" customHeight="true" outlineLevel="0" collapsed="false">
      <c r="A30" s="28" t="s">
        <v>66</v>
      </c>
      <c r="B30" s="28"/>
      <c r="C30" s="28"/>
      <c r="D30" s="28"/>
      <c r="E30" s="28"/>
      <c r="F30" s="28"/>
    </row>
    <row r="31" customFormat="false" ht="15" hidden="false" customHeight="true" outlineLevel="0" collapsed="false">
      <c r="A31" s="7" t="s">
        <v>67</v>
      </c>
      <c r="B31" s="8" t="n">
        <v>0</v>
      </c>
      <c r="C31" s="9" t="n">
        <v>200</v>
      </c>
      <c r="D31" s="29" t="n">
        <v>200</v>
      </c>
      <c r="E31" s="11" t="s">
        <v>28</v>
      </c>
      <c r="F31" s="12" t="s">
        <v>68</v>
      </c>
    </row>
    <row r="32" customFormat="false" ht="15" hidden="false" customHeight="true" outlineLevel="0" collapsed="false">
      <c r="A32" s="7" t="s">
        <v>69</v>
      </c>
      <c r="B32" s="8" t="n">
        <v>0</v>
      </c>
      <c r="C32" s="9" t="n">
        <v>100</v>
      </c>
      <c r="D32" s="29" t="n">
        <v>100</v>
      </c>
      <c r="E32" s="11" t="s">
        <v>70</v>
      </c>
      <c r="F32" s="12" t="s">
        <v>71</v>
      </c>
    </row>
    <row r="33" customFormat="false" ht="15" hidden="false" customHeight="true" outlineLevel="0" collapsed="false">
      <c r="A33" s="7" t="s">
        <v>72</v>
      </c>
      <c r="B33" s="8" t="n">
        <v>0</v>
      </c>
      <c r="C33" s="9" t="n">
        <v>200</v>
      </c>
      <c r="D33" s="29" t="n">
        <v>200</v>
      </c>
      <c r="E33" s="11" t="s">
        <v>28</v>
      </c>
      <c r="F33" s="12" t="s">
        <v>73</v>
      </c>
    </row>
    <row r="34" customFormat="false" ht="15.75" hidden="false" customHeight="true" outlineLevel="0" collapsed="false">
      <c r="A34" s="13" t="s">
        <v>74</v>
      </c>
      <c r="B34" s="14" t="n">
        <v>0</v>
      </c>
      <c r="C34" s="15" t="n">
        <v>500</v>
      </c>
      <c r="D34" s="30" t="n">
        <v>500</v>
      </c>
      <c r="E34" s="17" t="s">
        <v>22</v>
      </c>
      <c r="F34" s="18"/>
    </row>
    <row r="35" customFormat="false" ht="18" hidden="false" customHeight="true" outlineLevel="0" collapsed="false">
      <c r="A35" s="31" t="s">
        <v>75</v>
      </c>
      <c r="B35" s="31"/>
      <c r="C35" s="31"/>
      <c r="D35" s="31"/>
      <c r="E35" s="31"/>
      <c r="F35" s="31"/>
    </row>
    <row r="36" customFormat="false" ht="15" hidden="false" customHeight="true" outlineLevel="0" collapsed="false">
      <c r="A36" s="7" t="s">
        <v>76</v>
      </c>
      <c r="B36" s="8" t="n">
        <v>0</v>
      </c>
      <c r="C36" s="9" t="n">
        <v>400</v>
      </c>
      <c r="D36" s="29" t="n">
        <v>400</v>
      </c>
      <c r="E36" s="11" t="s">
        <v>77</v>
      </c>
      <c r="F36" s="12" t="s">
        <v>78</v>
      </c>
    </row>
    <row r="37" customFormat="false" ht="15.75" hidden="false" customHeight="true" outlineLevel="0" collapsed="false">
      <c r="A37" s="13" t="s">
        <v>79</v>
      </c>
      <c r="B37" s="14" t="n">
        <v>0</v>
      </c>
      <c r="C37" s="15" t="n">
        <v>400</v>
      </c>
      <c r="D37" s="30" t="n">
        <v>400</v>
      </c>
      <c r="E37" s="17" t="s">
        <v>77</v>
      </c>
      <c r="F37" s="18"/>
    </row>
    <row r="38" customFormat="false" ht="6" hidden="false" customHeight="true" outlineLevel="0" collapsed="false"/>
    <row r="39" customFormat="false" ht="21.75" hidden="false" customHeight="true" outlineLevel="0" collapsed="false">
      <c r="A39" s="32" t="s">
        <v>80</v>
      </c>
      <c r="B39" s="33" t="n">
        <v>5545</v>
      </c>
      <c r="C39" s="33" t="n">
        <v>5226</v>
      </c>
      <c r="D39" s="34" t="n">
        <v>-319</v>
      </c>
      <c r="E39" s="35" t="s">
        <v>81</v>
      </c>
      <c r="F39" s="36" t="s">
        <v>82</v>
      </c>
    </row>
    <row r="40" customFormat="false" ht="24" hidden="false" customHeight="true" outlineLevel="0" collapsed="false">
      <c r="A40" s="37" t="s">
        <v>83</v>
      </c>
      <c r="B40" s="38" t="n">
        <v>-322.62</v>
      </c>
      <c r="C40" s="39" t="n">
        <v>-3.61999999999989</v>
      </c>
      <c r="D40" s="40" t="n">
        <v>319</v>
      </c>
      <c r="E40" s="41"/>
      <c r="F40" s="42" t="s">
        <v>84</v>
      </c>
    </row>
    <row r="41" customFormat="false" ht="27.75" hidden="false" customHeight="true" outlineLevel="0" collapsed="false">
      <c r="A41" s="3" t="s">
        <v>85</v>
      </c>
      <c r="B41" s="3"/>
      <c r="C41" s="3"/>
      <c r="D41" s="3"/>
      <c r="E41" s="3"/>
      <c r="F41" s="3"/>
    </row>
    <row r="43" customFormat="false" ht="18" hidden="false" customHeight="true" outlineLevel="0" collapsed="false">
      <c r="A43" s="43" t="s">
        <v>86</v>
      </c>
      <c r="B43" s="43"/>
      <c r="C43" s="43"/>
      <c r="D43" s="43"/>
      <c r="E43" s="43"/>
      <c r="F43" s="43"/>
    </row>
    <row r="44" customFormat="false" ht="15" hidden="false" customHeight="true" outlineLevel="0" collapsed="false">
      <c r="A44" s="44" t="s">
        <v>87</v>
      </c>
      <c r="B44" s="44"/>
      <c r="C44" s="44"/>
      <c r="D44" s="44" t="s">
        <v>88</v>
      </c>
      <c r="E44" s="44"/>
      <c r="F44" s="44"/>
    </row>
    <row r="45" customFormat="false" ht="15" hidden="false" customHeight="true" outlineLevel="0" collapsed="false">
      <c r="A45" s="45" t="s">
        <v>89</v>
      </c>
      <c r="B45" s="45"/>
      <c r="C45" s="45"/>
      <c r="D45" s="46" t="s">
        <v>90</v>
      </c>
      <c r="E45" s="46"/>
      <c r="F45" s="46"/>
    </row>
    <row r="46" customFormat="false" ht="15" hidden="false" customHeight="true" outlineLevel="0" collapsed="false">
      <c r="A46" s="45" t="s">
        <v>91</v>
      </c>
      <c r="B46" s="45"/>
      <c r="C46" s="45"/>
      <c r="D46" s="47" t="s">
        <v>92</v>
      </c>
      <c r="E46" s="47"/>
      <c r="F46" s="47"/>
    </row>
    <row r="47" customFormat="false" ht="15" hidden="false" customHeight="true" outlineLevel="0" collapsed="false">
      <c r="A47" s="45" t="s">
        <v>93</v>
      </c>
      <c r="B47" s="45"/>
      <c r="C47" s="45"/>
      <c r="D47" s="48" t="s">
        <v>94</v>
      </c>
      <c r="E47" s="48"/>
      <c r="F47" s="48"/>
    </row>
    <row r="48" customFormat="false" ht="15" hidden="false" customHeight="true" outlineLevel="0" collapsed="false">
      <c r="A48" s="45" t="s">
        <v>95</v>
      </c>
      <c r="B48" s="45"/>
      <c r="C48" s="45"/>
      <c r="D48" s="49" t="s">
        <v>96</v>
      </c>
      <c r="E48" s="49"/>
      <c r="F48" s="49"/>
    </row>
    <row r="49" customFormat="false" ht="15" hidden="false" customHeight="true" outlineLevel="0" collapsed="false">
      <c r="A49" s="45" t="s">
        <v>97</v>
      </c>
      <c r="B49" s="45"/>
      <c r="C49" s="45"/>
      <c r="D49" s="50" t="s">
        <v>98</v>
      </c>
      <c r="E49" s="50"/>
      <c r="F49" s="50"/>
    </row>
    <row r="50" customFormat="false" ht="15" hidden="false" customHeight="true" outlineLevel="0" collapsed="false">
      <c r="A50" s="45" t="s">
        <v>99</v>
      </c>
      <c r="B50" s="45"/>
      <c r="C50" s="45"/>
      <c r="D50" s="51" t="s">
        <v>100</v>
      </c>
      <c r="E50" s="51"/>
      <c r="F50" s="51"/>
    </row>
    <row r="51" customFormat="false" ht="15" hidden="false" customHeight="true" outlineLevel="0" collapsed="false">
      <c r="A51" s="52" t="s">
        <v>101</v>
      </c>
      <c r="B51" s="52"/>
      <c r="C51" s="52"/>
      <c r="D51" s="53" t="s">
        <v>102</v>
      </c>
      <c r="E51" s="53"/>
      <c r="F51" s="53"/>
    </row>
  </sheetData>
  <mergeCells count="28">
    <mergeCell ref="A1:F1"/>
    <mergeCell ref="A2:F2"/>
    <mergeCell ref="A3:F3"/>
    <mergeCell ref="A5:F5"/>
    <mergeCell ref="A8:F8"/>
    <mergeCell ref="A17:F17"/>
    <mergeCell ref="A23:F23"/>
    <mergeCell ref="A26:F26"/>
    <mergeCell ref="A30:F30"/>
    <mergeCell ref="A35:F35"/>
    <mergeCell ref="A41:F41"/>
    <mergeCell ref="A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4" width="32"/>
    <col collapsed="false" customWidth="true" hidden="false" outlineLevel="0" max="4" min="2" style="54" width="14"/>
    <col collapsed="false" customWidth="true" hidden="false" outlineLevel="0" max="5" min="5" style="54" width="38"/>
    <col collapsed="false" customWidth="true" hidden="false" outlineLevel="0" max="6" min="6" style="54" width="12"/>
  </cols>
  <sheetData>
    <row r="1" customFormat="false" ht="30" hidden="false" customHeight="true" outlineLevel="0" collapsed="false">
      <c r="A1" s="55" t="s">
        <v>103</v>
      </c>
      <c r="B1" s="55"/>
      <c r="C1" s="55"/>
      <c r="D1" s="55"/>
      <c r="E1" s="55"/>
      <c r="F1" s="55"/>
    </row>
    <row r="2" customFormat="false" ht="19.5" hidden="false" customHeight="true" outlineLevel="0" collapsed="false">
      <c r="A2" s="56" t="s">
        <v>104</v>
      </c>
      <c r="B2" s="56"/>
      <c r="C2" s="56"/>
      <c r="D2" s="56"/>
      <c r="E2" s="56"/>
      <c r="F2" s="56"/>
    </row>
    <row r="4" customFormat="false" ht="19.5" hidden="false" customHeight="true" outlineLevel="0" collapsed="false">
      <c r="A4" s="57" t="s">
        <v>105</v>
      </c>
      <c r="B4" s="57"/>
      <c r="C4" s="57"/>
      <c r="D4" s="57"/>
      <c r="E4" s="57"/>
      <c r="F4" s="57"/>
    </row>
    <row r="5" customFormat="false" ht="15" hidden="false" customHeight="true" outlineLevel="0" collapsed="false">
      <c r="A5" s="58" t="s">
        <v>3</v>
      </c>
      <c r="B5" s="58" t="s">
        <v>106</v>
      </c>
      <c r="C5" s="58" t="s">
        <v>107</v>
      </c>
      <c r="D5" s="58" t="s">
        <v>6</v>
      </c>
      <c r="E5" s="58" t="s">
        <v>8</v>
      </c>
      <c r="F5" s="58" t="s">
        <v>108</v>
      </c>
    </row>
    <row r="6" customFormat="false" ht="15" hidden="false" customHeight="true" outlineLevel="0" collapsed="false">
      <c r="A6" s="59" t="s">
        <v>109</v>
      </c>
      <c r="B6" s="60" t="n">
        <v>1007</v>
      </c>
      <c r="C6" s="60" t="n">
        <v>1007</v>
      </c>
      <c r="D6" s="61" t="n">
        <v>0</v>
      </c>
      <c r="E6" s="62" t="s">
        <v>110</v>
      </c>
      <c r="F6" s="63" t="s">
        <v>50</v>
      </c>
    </row>
    <row r="7" customFormat="false" ht="15" hidden="false" customHeight="true" outlineLevel="0" collapsed="false">
      <c r="A7" s="59" t="s">
        <v>111</v>
      </c>
      <c r="B7" s="60" t="n">
        <v>100</v>
      </c>
      <c r="C7" s="64" t="n">
        <v>89</v>
      </c>
      <c r="D7" s="65" t="n">
        <v>-11</v>
      </c>
      <c r="E7" s="62" t="s">
        <v>112</v>
      </c>
      <c r="F7" s="63" t="s">
        <v>50</v>
      </c>
    </row>
    <row r="8" customFormat="false" ht="21.75" hidden="false" customHeight="true" outlineLevel="0" collapsed="false">
      <c r="A8" s="59" t="s">
        <v>113</v>
      </c>
      <c r="B8" s="60" t="n">
        <v>650</v>
      </c>
      <c r="C8" s="64" t="n">
        <v>500</v>
      </c>
      <c r="D8" s="65" t="n">
        <v>-150</v>
      </c>
      <c r="E8" s="62" t="s">
        <v>114</v>
      </c>
      <c r="F8" s="63" t="s">
        <v>115</v>
      </c>
    </row>
    <row r="9" customFormat="false" ht="15" hidden="false" customHeight="true" outlineLevel="0" collapsed="false">
      <c r="A9" s="59" t="s">
        <v>116</v>
      </c>
      <c r="B9" s="60" t="n">
        <v>75</v>
      </c>
      <c r="C9" s="64" t="n">
        <v>67</v>
      </c>
      <c r="D9" s="65" t="n">
        <v>-8</v>
      </c>
      <c r="E9" s="62" t="s">
        <v>117</v>
      </c>
      <c r="F9" s="63" t="s">
        <v>118</v>
      </c>
    </row>
    <row r="10" customFormat="false" ht="15" hidden="false" customHeight="true" outlineLevel="0" collapsed="false">
      <c r="A10" s="59" t="s">
        <v>119</v>
      </c>
      <c r="B10" s="60" t="n">
        <v>300</v>
      </c>
      <c r="C10" s="64" t="n">
        <v>200</v>
      </c>
      <c r="D10" s="65" t="n">
        <v>-100</v>
      </c>
      <c r="E10" s="62" t="s">
        <v>120</v>
      </c>
      <c r="F10" s="63" t="s">
        <v>121</v>
      </c>
    </row>
    <row r="11" customFormat="false" ht="15" hidden="false" customHeight="true" outlineLevel="0" collapsed="false">
      <c r="A11" s="59" t="s">
        <v>122</v>
      </c>
      <c r="B11" s="60" t="n">
        <v>200</v>
      </c>
      <c r="C11" s="64" t="n">
        <v>150</v>
      </c>
      <c r="D11" s="65" t="n">
        <v>-50</v>
      </c>
      <c r="E11" s="62" t="s">
        <v>123</v>
      </c>
      <c r="F11" s="63" t="s">
        <v>121</v>
      </c>
    </row>
    <row r="12" customFormat="false" ht="15" hidden="false" customHeight="true" outlineLevel="0" collapsed="false">
      <c r="A12" s="59" t="s">
        <v>124</v>
      </c>
      <c r="B12" s="60" t="n">
        <v>263</v>
      </c>
      <c r="C12" s="60" t="n">
        <v>263</v>
      </c>
      <c r="D12" s="61" t="n">
        <v>0</v>
      </c>
      <c r="E12" s="62" t="s">
        <v>125</v>
      </c>
      <c r="F12" s="63" t="s">
        <v>50</v>
      </c>
    </row>
    <row r="13" customFormat="false" ht="15" hidden="false" customHeight="true" outlineLevel="0" collapsed="false">
      <c r="A13" s="59" t="s">
        <v>126</v>
      </c>
      <c r="B13" s="60" t="n">
        <v>80</v>
      </c>
      <c r="C13" s="60" t="n">
        <v>80</v>
      </c>
      <c r="D13" s="61" t="n">
        <v>0</v>
      </c>
      <c r="E13" s="62" t="s">
        <v>127</v>
      </c>
      <c r="F13" s="63" t="s">
        <v>50</v>
      </c>
    </row>
    <row r="14" customFormat="false" ht="21.75" hidden="false" customHeight="true" outlineLevel="0" collapsed="false">
      <c r="A14" s="59" t="s">
        <v>128</v>
      </c>
      <c r="B14" s="60" t="n">
        <v>2000</v>
      </c>
      <c r="C14" s="64" t="n">
        <v>1800</v>
      </c>
      <c r="D14" s="65" t="n">
        <v>-200</v>
      </c>
      <c r="E14" s="62" t="s">
        <v>129</v>
      </c>
      <c r="F14" s="63" t="s">
        <v>130</v>
      </c>
    </row>
    <row r="15" customFormat="false" ht="15" hidden="false" customHeight="true" outlineLevel="0" collapsed="false">
      <c r="A15" s="59" t="s">
        <v>131</v>
      </c>
      <c r="B15" s="60" t="n">
        <v>620</v>
      </c>
      <c r="C15" s="60" t="n">
        <v>620</v>
      </c>
      <c r="D15" s="61" t="n">
        <v>0</v>
      </c>
      <c r="E15" s="62" t="s">
        <v>132</v>
      </c>
      <c r="F15" s="63" t="s">
        <v>50</v>
      </c>
    </row>
    <row r="16" customFormat="false" ht="15" hidden="false" customHeight="true" outlineLevel="0" collapsed="false">
      <c r="A16" s="59" t="s">
        <v>133</v>
      </c>
      <c r="B16" s="60" t="n">
        <v>250</v>
      </c>
      <c r="C16" s="60" t="n">
        <v>250</v>
      </c>
      <c r="D16" s="61" t="n">
        <v>0</v>
      </c>
      <c r="E16" s="62" t="s">
        <v>134</v>
      </c>
      <c r="F16" s="63" t="s">
        <v>50</v>
      </c>
    </row>
    <row r="17" customFormat="false" ht="15" hidden="false" customHeight="true" outlineLevel="0" collapsed="false">
      <c r="A17" s="66" t="s">
        <v>135</v>
      </c>
      <c r="B17" s="67" t="n">
        <f aca="false">SUM(B6:B16)</f>
        <v>5545</v>
      </c>
      <c r="C17" s="67" t="n">
        <f aca="false">SUM(C6:C16)</f>
        <v>5026</v>
      </c>
      <c r="D17" s="68" t="n">
        <f aca="false">C17-B17</f>
        <v>-519</v>
      </c>
      <c r="E17" s="69"/>
      <c r="F17" s="69"/>
    </row>
    <row r="18" customFormat="false" ht="23.25" hidden="false" customHeight="true" outlineLevel="0" collapsed="false">
      <c r="A18" s="70" t="s">
        <v>136</v>
      </c>
      <c r="B18" s="71" t="n">
        <f aca="false">5222.38-B17</f>
        <v>-322.62</v>
      </c>
      <c r="C18" s="72" t="n">
        <f aca="false">5222.38-C17</f>
        <v>196.38</v>
      </c>
      <c r="D18" s="72" t="n">
        <f aca="false">C18-B18</f>
        <v>519</v>
      </c>
      <c r="E18" s="69"/>
      <c r="F18" s="69"/>
    </row>
    <row r="20" customFormat="false" ht="19.5" hidden="false" customHeight="true" outlineLevel="0" collapsed="false">
      <c r="A20" s="57" t="s">
        <v>137</v>
      </c>
      <c r="B20" s="57"/>
      <c r="C20" s="57"/>
      <c r="D20" s="57"/>
      <c r="E20" s="57"/>
      <c r="F20" s="57"/>
    </row>
    <row r="21" customFormat="false" ht="23.25" hidden="false" customHeight="true" outlineLevel="0" collapsed="false">
      <c r="A21" s="58" t="s">
        <v>138</v>
      </c>
      <c r="B21" s="58" t="s">
        <v>139</v>
      </c>
      <c r="C21" s="58" t="s">
        <v>140</v>
      </c>
      <c r="D21" s="58" t="s">
        <v>141</v>
      </c>
      <c r="E21" s="58" t="s">
        <v>8</v>
      </c>
    </row>
    <row r="22" customFormat="false" ht="15" hidden="false" customHeight="true" outlineLevel="0" collapsed="false">
      <c r="A22" s="63" t="s">
        <v>142</v>
      </c>
      <c r="B22" s="60" t="n">
        <v>1800</v>
      </c>
      <c r="C22" s="60" t="n">
        <f aca="false">B23*12</f>
        <v>21600</v>
      </c>
      <c r="D22" s="73" t="n">
        <f aca="false">C23*92.33</f>
        <v>3988656</v>
      </c>
      <c r="E22" s="62" t="s">
        <v>143</v>
      </c>
    </row>
    <row r="23" customFormat="false" ht="15" hidden="false" customHeight="true" outlineLevel="0" collapsed="false">
      <c r="A23" s="63" t="s">
        <v>144</v>
      </c>
      <c r="B23" s="60" t="n">
        <v>1800</v>
      </c>
      <c r="C23" s="60" t="n">
        <f aca="false">B24*24</f>
        <v>43200</v>
      </c>
      <c r="D23" s="73" t="n">
        <f aca="false">C24*92.33</f>
        <v>11809351.1162179</v>
      </c>
      <c r="E23" s="62" t="s">
        <v>145</v>
      </c>
    </row>
    <row r="24" customFormat="false" ht="15" hidden="false" customHeight="true" outlineLevel="0" collapsed="false">
      <c r="A24" s="63" t="s">
        <v>146</v>
      </c>
      <c r="B24" s="60" t="n">
        <v>1800</v>
      </c>
      <c r="C24" s="60" t="n">
        <f aca="false">B25*60*1.07^2.5</f>
        <v>127903.727024996</v>
      </c>
      <c r="D24" s="73" t="n">
        <f aca="false">C25*92.33</f>
        <v>0</v>
      </c>
      <c r="E24" s="62" t="s">
        <v>147</v>
      </c>
    </row>
    <row r="25" customFormat="false" ht="15" hidden="false" customHeight="true" outlineLevel="0" collapsed="false">
      <c r="A25" s="63" t="s">
        <v>148</v>
      </c>
      <c r="B25" s="60" t="n">
        <v>1800</v>
      </c>
      <c r="C25" s="60" t="n">
        <f aca="false">B26*120*1.07^5</f>
        <v>0</v>
      </c>
      <c r="D25" s="73" t="n">
        <f aca="false">C26*92.33</f>
        <v>0</v>
      </c>
      <c r="E25" s="62" t="s">
        <v>149</v>
      </c>
    </row>
    <row r="28" customFormat="false" ht="19.5" hidden="false" customHeight="true" outlineLevel="0" collapsed="false">
      <c r="A28" s="57" t="s">
        <v>150</v>
      </c>
      <c r="B28" s="57"/>
      <c r="C28" s="57"/>
      <c r="D28" s="57"/>
      <c r="E28" s="57"/>
      <c r="F28" s="57"/>
    </row>
    <row r="29" customFormat="false" ht="15" hidden="false" customHeight="true" outlineLevel="0" collapsed="false">
      <c r="A29" s="58" t="s">
        <v>151</v>
      </c>
      <c r="B29" s="58" t="s">
        <v>152</v>
      </c>
      <c r="C29" s="58" t="s">
        <v>153</v>
      </c>
      <c r="D29" s="58" t="s">
        <v>154</v>
      </c>
    </row>
    <row r="30" customFormat="false" ht="15" hidden="false" customHeight="true" outlineLevel="0" collapsed="false">
      <c r="A30" s="59" t="s">
        <v>155</v>
      </c>
      <c r="B30" s="74" t="s">
        <v>156</v>
      </c>
      <c r="C30" s="62" t="s">
        <v>157</v>
      </c>
      <c r="D30" s="63" t="s">
        <v>158</v>
      </c>
    </row>
    <row r="31" customFormat="false" ht="21.75" hidden="false" customHeight="true" outlineLevel="0" collapsed="false">
      <c r="A31" s="59" t="s">
        <v>159</v>
      </c>
      <c r="B31" s="74" t="s">
        <v>160</v>
      </c>
      <c r="C31" s="62" t="s">
        <v>161</v>
      </c>
      <c r="D31" s="63" t="s">
        <v>162</v>
      </c>
    </row>
    <row r="32" customFormat="false" ht="21.75" hidden="false" customHeight="true" outlineLevel="0" collapsed="false">
      <c r="A32" s="59" t="s">
        <v>163</v>
      </c>
      <c r="B32" s="74" t="s">
        <v>164</v>
      </c>
      <c r="C32" s="62" t="s">
        <v>165</v>
      </c>
      <c r="D32" s="63" t="s">
        <v>162</v>
      </c>
    </row>
    <row r="33" customFormat="false" ht="21.75" hidden="false" customHeight="true" outlineLevel="0" collapsed="false">
      <c r="A33" s="59" t="s">
        <v>166</v>
      </c>
      <c r="B33" s="74" t="s">
        <v>167</v>
      </c>
      <c r="C33" s="62" t="s">
        <v>168</v>
      </c>
      <c r="D33" s="63" t="s">
        <v>162</v>
      </c>
    </row>
    <row r="34" customFormat="false" ht="32.25" hidden="false" customHeight="true" outlineLevel="0" collapsed="false">
      <c r="A34" s="59" t="s">
        <v>169</v>
      </c>
      <c r="B34" s="74" t="s">
        <v>170</v>
      </c>
      <c r="C34" s="62" t="s">
        <v>171</v>
      </c>
      <c r="D34" s="63" t="s">
        <v>172</v>
      </c>
    </row>
    <row r="35" customFormat="false" ht="21.75" hidden="false" customHeight="true" outlineLevel="0" collapsed="false">
      <c r="A35" s="59" t="s">
        <v>173</v>
      </c>
      <c r="B35" s="74" t="s">
        <v>174</v>
      </c>
      <c r="C35" s="62" t="s">
        <v>175</v>
      </c>
      <c r="D35" s="63" t="s">
        <v>176</v>
      </c>
    </row>
  </sheetData>
  <mergeCells count="5">
    <mergeCell ref="A1:F1"/>
    <mergeCell ref="A2:F2"/>
    <mergeCell ref="A4:F4"/>
    <mergeCell ref="A20:F20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4" width="22"/>
    <col collapsed="false" customWidth="true" hidden="false" outlineLevel="0" max="2" min="2" style="54" width="34"/>
    <col collapsed="false" customWidth="true" hidden="false" outlineLevel="0" max="4" min="3" style="54" width="16"/>
    <col collapsed="false" customWidth="true" hidden="false" outlineLevel="0" max="5" min="5" style="54" width="20"/>
    <col collapsed="false" customWidth="true" hidden="false" outlineLevel="0" max="6" min="6" style="54" width="38"/>
    <col collapsed="false" customWidth="true" hidden="false" outlineLevel="0" max="7" min="7" style="54" width="18"/>
  </cols>
  <sheetData>
    <row r="1" customFormat="false" ht="30" hidden="false" customHeight="true" outlineLevel="0" collapsed="false">
      <c r="A1" s="75" t="s">
        <v>177</v>
      </c>
      <c r="B1" s="75"/>
      <c r="C1" s="75"/>
      <c r="D1" s="75"/>
      <c r="E1" s="75"/>
      <c r="F1" s="75"/>
      <c r="G1" s="75"/>
    </row>
    <row r="2" customFormat="false" ht="18" hidden="false" customHeight="true" outlineLevel="0" collapsed="false">
      <c r="A2" s="76" t="s">
        <v>178</v>
      </c>
      <c r="B2" s="76"/>
      <c r="C2" s="76"/>
      <c r="D2" s="76"/>
      <c r="E2" s="76"/>
      <c r="F2" s="76"/>
      <c r="G2" s="76"/>
    </row>
    <row r="3" customFormat="false" ht="31.5" hidden="false" customHeight="true" outlineLevel="0" collapsed="false">
      <c r="A3" s="77" t="s">
        <v>179</v>
      </c>
      <c r="B3" s="77"/>
      <c r="C3" s="77"/>
      <c r="D3" s="77"/>
      <c r="E3" s="77"/>
      <c r="F3" s="77"/>
      <c r="G3" s="77"/>
    </row>
    <row r="5" customFormat="false" ht="18" hidden="false" customHeight="true" outlineLevel="0" collapsed="false">
      <c r="A5" s="78" t="s">
        <v>180</v>
      </c>
      <c r="B5" s="78"/>
      <c r="C5" s="78"/>
      <c r="D5" s="78"/>
      <c r="E5" s="78"/>
      <c r="F5" s="78"/>
      <c r="G5" s="78"/>
    </row>
    <row r="6" customFormat="false" ht="15" hidden="false" customHeight="true" outlineLevel="0" collapsed="false">
      <c r="A6" s="79" t="s">
        <v>87</v>
      </c>
      <c r="B6" s="79" t="s">
        <v>181</v>
      </c>
      <c r="C6" s="79" t="s">
        <v>182</v>
      </c>
      <c r="D6" s="79" t="s">
        <v>183</v>
      </c>
      <c r="E6" s="79" t="s">
        <v>184</v>
      </c>
      <c r="F6" s="79" t="s">
        <v>185</v>
      </c>
      <c r="G6" s="79" t="s">
        <v>108</v>
      </c>
    </row>
    <row r="7" customFormat="false" ht="23.25" hidden="false" customHeight="true" outlineLevel="0" collapsed="false">
      <c r="A7" s="80" t="s">
        <v>186</v>
      </c>
      <c r="B7" s="81" t="s">
        <v>187</v>
      </c>
      <c r="C7" s="82" t="n">
        <v>415</v>
      </c>
      <c r="D7" s="83" t="n">
        <f aca="false">C7/C14</f>
        <v>0.186684660368871</v>
      </c>
      <c r="E7" s="74" t="s">
        <v>188</v>
      </c>
      <c r="F7" s="81" t="s">
        <v>189</v>
      </c>
      <c r="G7" s="84" t="s">
        <v>190</v>
      </c>
    </row>
    <row r="8" customFormat="false" ht="21.75" hidden="false" customHeight="true" outlineLevel="0" collapsed="false">
      <c r="A8" s="80" t="s">
        <v>191</v>
      </c>
      <c r="B8" s="81" t="s">
        <v>192</v>
      </c>
      <c r="C8" s="82" t="n">
        <v>208</v>
      </c>
      <c r="D8" s="83" t="n">
        <f aca="false">C8/C14</f>
        <v>0.0935672514619883</v>
      </c>
      <c r="E8" s="74" t="s">
        <v>193</v>
      </c>
      <c r="F8" s="81" t="s">
        <v>194</v>
      </c>
      <c r="G8" s="84" t="s">
        <v>190</v>
      </c>
    </row>
    <row r="9" customFormat="false" ht="15" hidden="false" customHeight="true" outlineLevel="0" collapsed="false">
      <c r="A9" s="80" t="s">
        <v>195</v>
      </c>
      <c r="B9" s="81" t="s">
        <v>196</v>
      </c>
      <c r="C9" s="82" t="n">
        <v>400</v>
      </c>
      <c r="D9" s="83" t="n">
        <f aca="false">C9/C14</f>
        <v>0.179937022042285</v>
      </c>
      <c r="E9" s="74" t="s">
        <v>197</v>
      </c>
      <c r="F9" s="81" t="s">
        <v>198</v>
      </c>
      <c r="G9" s="84" t="s">
        <v>115</v>
      </c>
    </row>
    <row r="10" customFormat="false" ht="21.75" hidden="false" customHeight="true" outlineLevel="0" collapsed="false">
      <c r="A10" s="80" t="s">
        <v>199</v>
      </c>
      <c r="B10" s="81" t="s">
        <v>200</v>
      </c>
      <c r="C10" s="82" t="n">
        <v>200</v>
      </c>
      <c r="D10" s="83" t="n">
        <f aca="false">C10/C14</f>
        <v>0.0899685110211426</v>
      </c>
      <c r="E10" s="74" t="s">
        <v>201</v>
      </c>
      <c r="F10" s="81" t="s">
        <v>202</v>
      </c>
      <c r="G10" s="84" t="s">
        <v>203</v>
      </c>
    </row>
    <row r="11" customFormat="false" ht="15" hidden="false" customHeight="true" outlineLevel="0" collapsed="false">
      <c r="A11" s="80" t="s">
        <v>204</v>
      </c>
      <c r="B11" s="81" t="s">
        <v>205</v>
      </c>
      <c r="C11" s="82" t="n">
        <v>400</v>
      </c>
      <c r="D11" s="83" t="n">
        <f aca="false">C11/C14</f>
        <v>0.179937022042285</v>
      </c>
      <c r="E11" s="74" t="s">
        <v>206</v>
      </c>
      <c r="F11" s="81" t="s">
        <v>207</v>
      </c>
      <c r="G11" s="84" t="s">
        <v>115</v>
      </c>
    </row>
    <row r="12" customFormat="false" ht="23.25" hidden="false" customHeight="true" outlineLevel="0" collapsed="false">
      <c r="A12" s="80" t="s">
        <v>208</v>
      </c>
      <c r="B12" s="81" t="s">
        <v>209</v>
      </c>
      <c r="C12" s="82" t="n">
        <v>200</v>
      </c>
      <c r="D12" s="83" t="n">
        <f aca="false">C12/C14</f>
        <v>0.0899685110211426</v>
      </c>
      <c r="E12" s="74" t="s">
        <v>210</v>
      </c>
      <c r="F12" s="81" t="s">
        <v>211</v>
      </c>
      <c r="G12" s="84" t="s">
        <v>212</v>
      </c>
    </row>
    <row r="13" customFormat="false" ht="15" hidden="false" customHeight="true" outlineLevel="0" collapsed="false">
      <c r="A13" s="80" t="s">
        <v>213</v>
      </c>
      <c r="B13" s="81" t="s">
        <v>214</v>
      </c>
      <c r="C13" s="82" t="n">
        <v>400</v>
      </c>
      <c r="D13" s="83" t="n">
        <f aca="false">C13/C14</f>
        <v>0.179937022042285</v>
      </c>
      <c r="E13" s="74" t="s">
        <v>215</v>
      </c>
      <c r="F13" s="81" t="s">
        <v>216</v>
      </c>
      <c r="G13" s="84" t="s">
        <v>217</v>
      </c>
    </row>
    <row r="14" customFormat="false" ht="15" hidden="false" customHeight="true" outlineLevel="0" collapsed="false">
      <c r="A14" s="85" t="s">
        <v>218</v>
      </c>
      <c r="B14" s="86"/>
      <c r="C14" s="87" t="n">
        <f aca="false">SUM(C7:C13)</f>
        <v>2223</v>
      </c>
      <c r="D14" s="88" t="n">
        <f aca="false">SUM(D7:D13)</f>
        <v>1</v>
      </c>
      <c r="E14" s="86"/>
      <c r="F14" s="86"/>
      <c r="G14" s="86"/>
    </row>
    <row r="16" customFormat="false" ht="18" hidden="false" customHeight="true" outlineLevel="0" collapsed="false">
      <c r="A16" s="78" t="s">
        <v>219</v>
      </c>
      <c r="B16" s="78"/>
      <c r="C16" s="78"/>
      <c r="D16" s="78"/>
      <c r="E16" s="78"/>
      <c r="F16" s="78"/>
      <c r="G16" s="78"/>
    </row>
    <row r="17" customFormat="false" ht="15" hidden="false" customHeight="true" outlineLevel="0" collapsed="false">
      <c r="A17" s="79" t="s">
        <v>220</v>
      </c>
      <c r="B17" s="79" t="s">
        <v>221</v>
      </c>
      <c r="C17" s="79" t="s">
        <v>222</v>
      </c>
      <c r="D17" s="79" t="s">
        <v>223</v>
      </c>
      <c r="E17" s="79" t="s">
        <v>224</v>
      </c>
      <c r="F17" s="79" t="s">
        <v>225</v>
      </c>
      <c r="G17" s="79" t="s">
        <v>226</v>
      </c>
    </row>
    <row r="18" customFormat="false" ht="21.75" hidden="false" customHeight="true" outlineLevel="0" collapsed="false">
      <c r="A18" s="80" t="s">
        <v>227</v>
      </c>
      <c r="B18" s="89" t="s">
        <v>228</v>
      </c>
      <c r="C18" s="84" t="s">
        <v>229</v>
      </c>
      <c r="D18" s="82" t="n">
        <f aca="false">0.5*400</f>
        <v>200</v>
      </c>
      <c r="E18" s="90" t="s">
        <v>230</v>
      </c>
      <c r="F18" s="81" t="s">
        <v>231</v>
      </c>
      <c r="G18" s="91" t="s">
        <v>115</v>
      </c>
    </row>
    <row r="19" customFormat="false" ht="15" hidden="false" customHeight="true" outlineLevel="0" collapsed="false">
      <c r="A19" s="80" t="s">
        <v>232</v>
      </c>
      <c r="B19" s="89" t="s">
        <v>233</v>
      </c>
      <c r="C19" s="84" t="s">
        <v>234</v>
      </c>
      <c r="D19" s="82" t="n">
        <f aca="false">0.2*400</f>
        <v>80</v>
      </c>
      <c r="E19" s="90" t="s">
        <v>235</v>
      </c>
      <c r="F19" s="81" t="s">
        <v>236</v>
      </c>
      <c r="G19" s="91" t="s">
        <v>237</v>
      </c>
    </row>
    <row r="20" customFormat="false" ht="15" hidden="false" customHeight="true" outlineLevel="0" collapsed="false">
      <c r="A20" s="80" t="s">
        <v>238</v>
      </c>
      <c r="B20" s="89" t="s">
        <v>239</v>
      </c>
      <c r="C20" s="84" t="s">
        <v>240</v>
      </c>
      <c r="D20" s="82" t="n">
        <f aca="false">0.15*400</f>
        <v>60</v>
      </c>
      <c r="E20" s="90" t="s">
        <v>241</v>
      </c>
      <c r="F20" s="81" t="s">
        <v>242</v>
      </c>
      <c r="G20" s="91" t="s">
        <v>115</v>
      </c>
    </row>
    <row r="21" customFormat="false" ht="15" hidden="false" customHeight="true" outlineLevel="0" collapsed="false">
      <c r="A21" s="80" t="s">
        <v>243</v>
      </c>
      <c r="B21" s="89" t="s">
        <v>244</v>
      </c>
      <c r="C21" s="84" t="s">
        <v>245</v>
      </c>
      <c r="D21" s="82" t="n">
        <f aca="false">0.1*400</f>
        <v>40</v>
      </c>
      <c r="E21" s="90" t="s">
        <v>246</v>
      </c>
      <c r="F21" s="81" t="s">
        <v>247</v>
      </c>
      <c r="G21" s="91" t="s">
        <v>115</v>
      </c>
    </row>
    <row r="22" customFormat="false" ht="15" hidden="false" customHeight="true" outlineLevel="0" collapsed="false">
      <c r="A22" s="80" t="s">
        <v>248</v>
      </c>
      <c r="B22" s="89" t="s">
        <v>249</v>
      </c>
      <c r="C22" s="84" t="s">
        <v>250</v>
      </c>
      <c r="D22" s="82" t="n">
        <f aca="false">0.05*400</f>
        <v>20</v>
      </c>
      <c r="E22" s="90" t="s">
        <v>251</v>
      </c>
      <c r="F22" s="81" t="s">
        <v>252</v>
      </c>
      <c r="G22" s="91" t="s">
        <v>253</v>
      </c>
    </row>
    <row r="25" customFormat="false" ht="18" hidden="false" customHeight="true" outlineLevel="0" collapsed="false">
      <c r="A25" s="78" t="s">
        <v>254</v>
      </c>
      <c r="B25" s="78"/>
      <c r="C25" s="78"/>
      <c r="D25" s="78"/>
      <c r="E25" s="78"/>
      <c r="F25" s="78"/>
      <c r="G25" s="78"/>
    </row>
    <row r="26" customFormat="false" ht="15" hidden="false" customHeight="true" outlineLevel="0" collapsed="false">
      <c r="A26" s="79" t="s">
        <v>255</v>
      </c>
      <c r="B26" s="79" t="s">
        <v>256</v>
      </c>
      <c r="C26" s="79" t="s">
        <v>257</v>
      </c>
      <c r="D26" s="79" t="s">
        <v>258</v>
      </c>
      <c r="E26" s="79" t="s">
        <v>259</v>
      </c>
      <c r="F26" s="79" t="s">
        <v>260</v>
      </c>
      <c r="G26" s="79" t="s">
        <v>261</v>
      </c>
    </row>
    <row r="27" customFormat="false" ht="15" hidden="false" customHeight="true" outlineLevel="0" collapsed="false">
      <c r="A27" s="91" t="n">
        <v>1</v>
      </c>
      <c r="B27" s="82" t="n">
        <v>1423</v>
      </c>
      <c r="C27" s="82" t="n">
        <f aca="false">B27*12</f>
        <v>17076</v>
      </c>
      <c r="D27" s="92" t="n">
        <f aca="false">C27*1.1</f>
        <v>18783.6</v>
      </c>
      <c r="E27" s="93" t="n">
        <f aca="false">C27*1.13</f>
        <v>19295.88</v>
      </c>
      <c r="F27" s="94" t="n">
        <f aca="false">43350-400*12</f>
        <v>38550</v>
      </c>
      <c r="G27" s="95" t="n">
        <f aca="false">D27+F27</f>
        <v>57333.6</v>
      </c>
    </row>
    <row r="28" customFormat="false" ht="15" hidden="false" customHeight="true" outlineLevel="0" collapsed="false">
      <c r="A28" s="91" t="n">
        <v>2</v>
      </c>
      <c r="B28" s="82" t="n">
        <v>1423</v>
      </c>
      <c r="C28" s="82" t="n">
        <f aca="false">C27+B28*12</f>
        <v>34152</v>
      </c>
      <c r="D28" s="92" t="n">
        <f aca="false">D27*1.1+B28*12*1.05</f>
        <v>38591.76</v>
      </c>
      <c r="E28" s="93" t="n">
        <f aca="false">E27*1.13+B28*12*1.065</f>
        <v>39990.2844</v>
      </c>
      <c r="F28" s="94" t="n">
        <f aca="false">F27-400*12</f>
        <v>33750</v>
      </c>
      <c r="G28" s="95" t="n">
        <f aca="false">D28+F28</f>
        <v>72341.76</v>
      </c>
    </row>
    <row r="29" customFormat="false" ht="15" hidden="false" customHeight="true" outlineLevel="0" collapsed="false">
      <c r="A29" s="91" t="n">
        <v>3</v>
      </c>
      <c r="B29" s="82" t="n">
        <v>1423</v>
      </c>
      <c r="C29" s="82" t="n">
        <f aca="false">C28+B29*12</f>
        <v>51228</v>
      </c>
      <c r="D29" s="92" t="n">
        <f aca="false">D28*1.1+B29*12*1.05</f>
        <v>60380.736</v>
      </c>
      <c r="E29" s="93" t="n">
        <f aca="false">E28*1.13+B29*12*1.065</f>
        <v>63374.961372</v>
      </c>
      <c r="F29" s="94" t="n">
        <f aca="false">IF(F28-400*12&lt;0,0,F28-400*12)</f>
        <v>28950</v>
      </c>
      <c r="G29" s="95" t="n">
        <f aca="false">D29+F29</f>
        <v>89330.736</v>
      </c>
    </row>
    <row r="30" customFormat="false" ht="15" hidden="false" customHeight="true" outlineLevel="0" collapsed="false">
      <c r="A30" s="91" t="n">
        <v>5</v>
      </c>
      <c r="B30" s="82" t="n">
        <v>1423</v>
      </c>
      <c r="C30" s="82" t="n">
        <f aca="false">C29+B30*24</f>
        <v>85380</v>
      </c>
      <c r="D30" s="92" t="n">
        <f aca="false">D29*(1.1^2)+B30*24*(1.1)</f>
        <v>110627.89056</v>
      </c>
      <c r="E30" s="93" t="n">
        <f aca="false">E29*(1.13^2)+B30*24*(1.13)</f>
        <v>119515.248175907</v>
      </c>
      <c r="F30" s="94" t="n">
        <f aca="false">IF(F29-400*24&lt;0,0,F29-400*24)</f>
        <v>19350</v>
      </c>
      <c r="G30" s="95" t="n">
        <f aca="false">D30+F30</f>
        <v>129977.89056</v>
      </c>
    </row>
    <row r="31" customFormat="false" ht="15" hidden="false" customHeight="true" outlineLevel="0" collapsed="false">
      <c r="A31" s="96" t="n">
        <v>7</v>
      </c>
      <c r="B31" s="97" t="n">
        <v>1423</v>
      </c>
      <c r="C31" s="97" t="n">
        <f aca="false">C30+B31*24</f>
        <v>119532</v>
      </c>
      <c r="D31" s="98" t="n">
        <f aca="false">D30*(1.1^2)+B31*24*(1.1)</f>
        <v>171426.9475776</v>
      </c>
      <c r="E31" s="99" t="n">
        <f aca="false">E30*(1.13^2)+B31*24*(1.13)</f>
        <v>191200.780395815</v>
      </c>
      <c r="F31" s="100" t="n">
        <f aca="false">IF(F30-400*24&lt;0,0,F30-400*24)</f>
        <v>9750</v>
      </c>
      <c r="G31" s="101" t="n">
        <f aca="false">D31+F31</f>
        <v>181176.9475776</v>
      </c>
    </row>
    <row r="32" customFormat="false" ht="15" hidden="false" customHeight="true" outlineLevel="0" collapsed="false">
      <c r="A32" s="96" t="n">
        <v>10</v>
      </c>
      <c r="B32" s="97" t="n">
        <v>1423</v>
      </c>
      <c r="C32" s="97" t="n">
        <f aca="false">C31+B32*36</f>
        <v>170760</v>
      </c>
      <c r="D32" s="98" t="n">
        <f aca="false">D31*(1.1^3)+B32*36*(1.1^1.5)</f>
        <v>287270.484867252</v>
      </c>
      <c r="E32" s="99" t="n">
        <f aca="false">E31*(1.13^3)+B32*36*(1.13^1.5)</f>
        <v>337418.43782629</v>
      </c>
      <c r="F32" s="100" t="n">
        <f aca="false">IF(F31-400*36&lt;0,0,F31-400*36)</f>
        <v>0</v>
      </c>
      <c r="G32" s="101" t="n">
        <f aca="false">D32+F32</f>
        <v>287270.484867252</v>
      </c>
    </row>
    <row r="35" customFormat="false" ht="18" hidden="false" customHeight="true" outlineLevel="0" collapsed="false">
      <c r="A35" s="78" t="s">
        <v>262</v>
      </c>
      <c r="B35" s="78"/>
      <c r="C35" s="78"/>
      <c r="D35" s="78"/>
      <c r="E35" s="78"/>
      <c r="F35" s="78"/>
      <c r="G35" s="78"/>
    </row>
    <row r="36" customFormat="false" ht="23.25" hidden="false" customHeight="true" outlineLevel="0" collapsed="false">
      <c r="A36" s="79" t="s">
        <v>263</v>
      </c>
      <c r="B36" s="79" t="s">
        <v>264</v>
      </c>
      <c r="C36" s="79" t="s">
        <v>265</v>
      </c>
      <c r="D36" s="79" t="s">
        <v>266</v>
      </c>
    </row>
    <row r="37" customFormat="false" ht="32.25" hidden="false" customHeight="true" outlineLevel="0" collapsed="false">
      <c r="A37" s="80" t="s">
        <v>267</v>
      </c>
      <c r="B37" s="102" t="s">
        <v>268</v>
      </c>
      <c r="C37" s="103" t="s">
        <v>269</v>
      </c>
      <c r="D37" s="81" t="s">
        <v>270</v>
      </c>
    </row>
    <row r="38" customFormat="false" ht="32.25" hidden="false" customHeight="true" outlineLevel="0" collapsed="false">
      <c r="A38" s="80" t="s">
        <v>271</v>
      </c>
      <c r="B38" s="102" t="s">
        <v>272</v>
      </c>
      <c r="C38" s="103" t="s">
        <v>273</v>
      </c>
      <c r="D38" s="81" t="s">
        <v>274</v>
      </c>
    </row>
    <row r="39" customFormat="false" ht="32.25" hidden="false" customHeight="true" outlineLevel="0" collapsed="false">
      <c r="A39" s="80" t="s">
        <v>248</v>
      </c>
      <c r="B39" s="102" t="s">
        <v>275</v>
      </c>
      <c r="C39" s="103" t="s">
        <v>276</v>
      </c>
      <c r="D39" s="81" t="s">
        <v>277</v>
      </c>
    </row>
    <row r="40" customFormat="false" ht="32.25" hidden="false" customHeight="true" outlineLevel="0" collapsed="false">
      <c r="A40" s="80" t="s">
        <v>278</v>
      </c>
      <c r="B40" s="102" t="s">
        <v>279</v>
      </c>
      <c r="C40" s="103" t="s">
        <v>280</v>
      </c>
      <c r="D40" s="81" t="s">
        <v>281</v>
      </c>
    </row>
    <row r="41" customFormat="false" ht="32.25" hidden="false" customHeight="true" outlineLevel="0" collapsed="false">
      <c r="A41" s="80" t="s">
        <v>282</v>
      </c>
      <c r="B41" s="102" t="s">
        <v>283</v>
      </c>
      <c r="C41" s="103" t="s">
        <v>284</v>
      </c>
      <c r="D41" s="81" t="s">
        <v>285</v>
      </c>
    </row>
    <row r="44" customFormat="false" ht="18" hidden="false" customHeight="true" outlineLevel="0" collapsed="false">
      <c r="A44" s="78" t="s">
        <v>286</v>
      </c>
      <c r="B44" s="78"/>
      <c r="C44" s="78"/>
      <c r="D44" s="78"/>
      <c r="E44" s="78"/>
      <c r="F44" s="78"/>
      <c r="G44" s="78"/>
    </row>
    <row r="45" customFormat="false" ht="15" hidden="false" customHeight="true" outlineLevel="0" collapsed="false">
      <c r="A45" s="79" t="s">
        <v>287</v>
      </c>
      <c r="B45" s="79" t="s">
        <v>151</v>
      </c>
      <c r="C45" s="79" t="s">
        <v>288</v>
      </c>
      <c r="D45" s="79" t="s">
        <v>289</v>
      </c>
      <c r="E45" s="79" t="s">
        <v>152</v>
      </c>
      <c r="F45" s="79" t="s">
        <v>290</v>
      </c>
    </row>
    <row r="46" customFormat="false" ht="21.75" hidden="false" customHeight="true" outlineLevel="0" collapsed="false">
      <c r="A46" s="91" t="n">
        <v>1</v>
      </c>
      <c r="B46" s="80" t="s">
        <v>291</v>
      </c>
      <c r="C46" s="81" t="s">
        <v>292</v>
      </c>
      <c r="D46" s="84" t="s">
        <v>293</v>
      </c>
      <c r="E46" s="104" t="s">
        <v>294</v>
      </c>
      <c r="F46" s="105" t="s">
        <v>295</v>
      </c>
    </row>
    <row r="47" customFormat="false" ht="21.75" hidden="false" customHeight="true" outlineLevel="0" collapsed="false">
      <c r="A47" s="91" t="n">
        <v>2</v>
      </c>
      <c r="B47" s="80" t="s">
        <v>296</v>
      </c>
      <c r="C47" s="81" t="s">
        <v>297</v>
      </c>
      <c r="D47" s="84" t="s">
        <v>298</v>
      </c>
      <c r="E47" s="104" t="s">
        <v>299</v>
      </c>
      <c r="F47" s="105" t="s">
        <v>300</v>
      </c>
    </row>
    <row r="48" customFormat="false" ht="21.75" hidden="false" customHeight="true" outlineLevel="0" collapsed="false">
      <c r="A48" s="91" t="n">
        <v>3</v>
      </c>
      <c r="B48" s="80" t="s">
        <v>301</v>
      </c>
      <c r="C48" s="81" t="s">
        <v>302</v>
      </c>
      <c r="D48" s="84" t="s">
        <v>298</v>
      </c>
      <c r="E48" s="104" t="s">
        <v>303</v>
      </c>
      <c r="F48" s="105" t="s">
        <v>295</v>
      </c>
    </row>
    <row r="49" customFormat="false" ht="21.75" hidden="false" customHeight="true" outlineLevel="0" collapsed="false">
      <c r="A49" s="91" t="n">
        <v>4</v>
      </c>
      <c r="B49" s="80" t="s">
        <v>304</v>
      </c>
      <c r="C49" s="81" t="s">
        <v>305</v>
      </c>
      <c r="D49" s="84" t="s">
        <v>306</v>
      </c>
      <c r="E49" s="104" t="s">
        <v>307</v>
      </c>
      <c r="F49" s="105" t="s">
        <v>308</v>
      </c>
    </row>
    <row r="50" customFormat="false" ht="15" hidden="false" customHeight="true" outlineLevel="0" collapsed="false">
      <c r="A50" s="91" t="n">
        <v>5</v>
      </c>
      <c r="B50" s="80" t="s">
        <v>309</v>
      </c>
      <c r="C50" s="81" t="s">
        <v>310</v>
      </c>
      <c r="D50" s="84" t="s">
        <v>298</v>
      </c>
      <c r="E50" s="104" t="s">
        <v>311</v>
      </c>
      <c r="F50" s="105" t="s">
        <v>312</v>
      </c>
    </row>
    <row r="51" customFormat="false" ht="21.75" hidden="false" customHeight="true" outlineLevel="0" collapsed="false">
      <c r="A51" s="91" t="n">
        <v>6</v>
      </c>
      <c r="B51" s="80" t="s">
        <v>313</v>
      </c>
      <c r="C51" s="81" t="s">
        <v>314</v>
      </c>
      <c r="D51" s="84" t="s">
        <v>315</v>
      </c>
      <c r="E51" s="104" t="s">
        <v>316</v>
      </c>
      <c r="F51" s="105" t="s">
        <v>317</v>
      </c>
    </row>
    <row r="52" customFormat="false" ht="23.25" hidden="false" customHeight="true" outlineLevel="0" collapsed="false">
      <c r="A52" s="91" t="n">
        <v>7</v>
      </c>
      <c r="B52" s="80" t="s">
        <v>318</v>
      </c>
      <c r="C52" s="81" t="s">
        <v>319</v>
      </c>
      <c r="D52" s="84" t="s">
        <v>320</v>
      </c>
      <c r="E52" s="104" t="s">
        <v>321</v>
      </c>
      <c r="F52" s="105" t="s">
        <v>322</v>
      </c>
    </row>
  </sheetData>
  <mergeCells count="8">
    <mergeCell ref="A1:G1"/>
    <mergeCell ref="A2:G2"/>
    <mergeCell ref="A3:G3"/>
    <mergeCell ref="A5:G5"/>
    <mergeCell ref="A16:G16"/>
    <mergeCell ref="A25:G25"/>
    <mergeCell ref="A35:G35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4" width="14.75"/>
    <col collapsed="false" customWidth="true" hidden="false" outlineLevel="0" max="2" min="2" style="54" width="23.63"/>
    <col collapsed="false" customWidth="true" hidden="false" outlineLevel="0" max="5" min="5" style="54" width="24.13"/>
    <col collapsed="false" customWidth="true" hidden="false" outlineLevel="0" max="7" min="7" style="54" width="13.25"/>
    <col collapsed="false" customWidth="true" hidden="false" outlineLevel="0" max="8" min="8" style="54" width="18.25"/>
    <col collapsed="false" customWidth="true" hidden="false" outlineLevel="0" max="10" min="10" style="54" width="18.75"/>
    <col collapsed="false" customWidth="true" hidden="false" outlineLevel="0" max="12" min="12" style="54" width="20"/>
    <col collapsed="false" customWidth="true" hidden="false" outlineLevel="0" max="13" min="13" style="54" width="13.88"/>
  </cols>
  <sheetData>
    <row r="1" customFormat="false" ht="15.75" hidden="false" customHeight="true" outlineLevel="0" collapsed="false">
      <c r="A1" s="106" t="s">
        <v>323</v>
      </c>
    </row>
    <row r="2" customFormat="false" ht="15.75" hidden="false" customHeight="true" outlineLevel="0" collapsed="false">
      <c r="O2" s="106" t="n">
        <v>12500</v>
      </c>
    </row>
    <row r="3" customFormat="false" ht="22.5" hidden="false" customHeight="true" outlineLevel="0" collapsed="false">
      <c r="B3" s="107" t="s">
        <v>324</v>
      </c>
      <c r="C3" s="107" t="n">
        <v>3463.5</v>
      </c>
      <c r="E3" s="108" t="s">
        <v>325</v>
      </c>
      <c r="F3" s="108" t="s">
        <v>326</v>
      </c>
      <c r="G3" s="108" t="s">
        <v>327</v>
      </c>
      <c r="H3" s="108" t="s">
        <v>328</v>
      </c>
      <c r="I3" s="108" t="s">
        <v>329</v>
      </c>
      <c r="O3" s="106" t="n">
        <v>1052</v>
      </c>
    </row>
    <row r="4" customFormat="false" ht="22.5" hidden="false" customHeight="true" outlineLevel="0" collapsed="false">
      <c r="B4" s="107" t="s">
        <v>330</v>
      </c>
      <c r="C4" s="107" t="n">
        <v>-430</v>
      </c>
      <c r="E4" s="109" t="s">
        <v>325</v>
      </c>
      <c r="F4" s="110"/>
      <c r="G4" s="110"/>
      <c r="I4" s="110"/>
      <c r="O4" s="106" t="n">
        <f aca="false">O2+O3</f>
        <v>13552</v>
      </c>
    </row>
    <row r="5" customFormat="false" ht="22.5" hidden="false" customHeight="true" outlineLevel="0" collapsed="false">
      <c r="B5" s="107" t="s">
        <v>331</v>
      </c>
      <c r="C5" s="107" t="n">
        <v>-50.19</v>
      </c>
      <c r="E5" s="109"/>
      <c r="F5" s="110"/>
      <c r="G5" s="110"/>
      <c r="I5" s="110"/>
      <c r="O5" s="111" t="n">
        <f aca="false">O4*P19</f>
        <v>1251269.712</v>
      </c>
    </row>
    <row r="6" customFormat="false" ht="22.5" hidden="false" customHeight="true" outlineLevel="0" collapsed="false">
      <c r="B6" s="107" t="s">
        <v>332</v>
      </c>
      <c r="C6" s="107" t="n">
        <v>-214.62</v>
      </c>
      <c r="E6" s="110" t="s">
        <v>333</v>
      </c>
      <c r="F6" s="110" t="n">
        <v>1007</v>
      </c>
      <c r="G6" s="110" t="s">
        <v>334</v>
      </c>
      <c r="H6" s="110" t="n">
        <v>1007</v>
      </c>
    </row>
    <row r="7" customFormat="false" ht="22.5" hidden="false" customHeight="true" outlineLevel="0" collapsed="false">
      <c r="B7" s="107" t="s">
        <v>335</v>
      </c>
      <c r="C7" s="107" t="n">
        <v>-157.5</v>
      </c>
      <c r="E7" s="110" t="s">
        <v>336</v>
      </c>
      <c r="F7" s="110" t="n">
        <v>100</v>
      </c>
      <c r="G7" s="110" t="s">
        <v>334</v>
      </c>
      <c r="H7" s="110" t="n">
        <v>70</v>
      </c>
      <c r="I7" s="110" t="s">
        <v>337</v>
      </c>
    </row>
    <row r="8" customFormat="false" ht="22.5" hidden="false" customHeight="true" outlineLevel="0" collapsed="false">
      <c r="B8" s="107"/>
      <c r="C8" s="107"/>
      <c r="E8" s="112" t="s">
        <v>338</v>
      </c>
      <c r="F8" s="110" t="n">
        <v>650</v>
      </c>
      <c r="G8" s="110" t="s">
        <v>339</v>
      </c>
      <c r="I8" s="110" t="s">
        <v>337</v>
      </c>
      <c r="Q8" s="106" t="n">
        <f aca="false">IFERROR(__xludf.dummyfunction("IMPORTRANGE(""https://docs.google.com/spreadsheets/d/1Itg44Yzu7M1wEx3MGGrMPryVH2VoA1_ACfm_8jBBJMc/edit?gid=0#gid=0"", ""Week 1: 17/02-23/02!F43"")"),344.665)</f>
        <v>344.665</v>
      </c>
    </row>
    <row r="9" customFormat="false" ht="22.5" hidden="false" customHeight="true" outlineLevel="0" collapsed="false">
      <c r="B9" s="107" t="s">
        <v>340</v>
      </c>
      <c r="C9" s="107" t="n">
        <f aca="false">(C3+C5+C4+C6+C7)</f>
        <v>2611.19</v>
      </c>
      <c r="E9" s="110" t="s">
        <v>341</v>
      </c>
      <c r="F9" s="110" t="n">
        <v>75</v>
      </c>
      <c r="G9" s="110" t="s">
        <v>342</v>
      </c>
      <c r="H9" s="110" t="n">
        <v>79.73</v>
      </c>
      <c r="I9" s="110" t="s">
        <v>337</v>
      </c>
    </row>
    <row r="10" customFormat="false" ht="22.5" hidden="false" customHeight="true" outlineLevel="0" collapsed="false">
      <c r="B10" s="107" t="s">
        <v>343</v>
      </c>
      <c r="C10" s="107" t="n">
        <f aca="false">C9*2</f>
        <v>5222.38</v>
      </c>
      <c r="E10" s="110" t="s">
        <v>344</v>
      </c>
      <c r="F10" s="110" t="n">
        <v>300</v>
      </c>
      <c r="G10" s="110" t="s">
        <v>342</v>
      </c>
      <c r="I10" s="110" t="s">
        <v>337</v>
      </c>
    </row>
    <row r="11" customFormat="false" ht="22.5" hidden="false" customHeight="true" outlineLevel="0" collapsed="false">
      <c r="B11" s="107"/>
      <c r="C11" s="107"/>
      <c r="E11" s="110" t="s">
        <v>345</v>
      </c>
      <c r="F11" s="110" t="n">
        <v>200</v>
      </c>
      <c r="G11" s="110" t="s">
        <v>342</v>
      </c>
      <c r="I11" s="110" t="s">
        <v>337</v>
      </c>
      <c r="L11" s="113" t="s">
        <v>346</v>
      </c>
      <c r="M11" s="106" t="n">
        <f aca="false">C10+SUM(F21:F24)</f>
        <v>2272.38</v>
      </c>
    </row>
    <row r="12" customFormat="false" ht="22.5" hidden="false" customHeight="true" outlineLevel="0" collapsed="false">
      <c r="B12" s="107"/>
      <c r="C12" s="107"/>
      <c r="E12" s="110" t="s">
        <v>347</v>
      </c>
      <c r="F12" s="110" t="n">
        <v>263</v>
      </c>
      <c r="G12" s="110" t="s">
        <v>348</v>
      </c>
      <c r="I12" s="110" t="s">
        <v>337</v>
      </c>
    </row>
    <row r="13" customFormat="false" ht="22.5" hidden="false" customHeight="true" outlineLevel="0" collapsed="false">
      <c r="B13" s="107" t="s">
        <v>349</v>
      </c>
      <c r="C13" s="107" t="n">
        <f aca="false">(C3+C4+C7)</f>
        <v>2876</v>
      </c>
    </row>
    <row r="14" customFormat="false" ht="22.5" hidden="false" customHeight="true" outlineLevel="0" collapsed="false">
      <c r="B14" s="107" t="s">
        <v>343</v>
      </c>
      <c r="C14" s="107" t="n">
        <f aca="false">C13*2</f>
        <v>5752</v>
      </c>
      <c r="L14" s="113" t="s">
        <v>350</v>
      </c>
      <c r="M14" s="106" t="n">
        <f aca="false">M11-F18</f>
        <v>-322.62</v>
      </c>
    </row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>
      <c r="C17" s="106" t="n">
        <f aca="false">(C9*0.06)*2</f>
        <v>313.3428</v>
      </c>
    </row>
    <row r="18" customFormat="false" ht="22.5" hidden="false" customHeight="true" outlineLevel="0" collapsed="false">
      <c r="E18" s="110" t="s">
        <v>351</v>
      </c>
      <c r="F18" s="110" t="n">
        <f aca="false">SUM(F6:F17)</f>
        <v>2595</v>
      </c>
      <c r="L18" s="106" t="s">
        <v>352</v>
      </c>
      <c r="M18" s="106" t="n">
        <f aca="false">-SUM(F22:F24)</f>
        <v>2870</v>
      </c>
    </row>
    <row r="19" customFormat="false" ht="22.5" hidden="false" customHeight="true" outlineLevel="0" collapsed="false">
      <c r="B19" s="106" t="n">
        <f aca="false">(0.03*C14)+343+343</f>
        <v>858.56</v>
      </c>
      <c r="L19" s="106" t="s">
        <v>353</v>
      </c>
      <c r="M19" s="106" t="n">
        <f aca="false">M18*12</f>
        <v>34440</v>
      </c>
      <c r="O19" s="106" t="s">
        <v>354</v>
      </c>
      <c r="P19" s="106" t="n">
        <f aca="false">IFERROR(__xludf.dummyfunction("IMPORTRANGE(""https://docs.google.com/spreadsheets/d/12A1v-5A0mjhDnIFHNoaSmzqnlocER_zvr0a-Z5z28O0/edit?gid=0#gid=0"", ""Sheet1!J25"")"),92.331)</f>
        <v>92.331</v>
      </c>
    </row>
    <row r="20" customFormat="false" ht="22.5" hidden="false" customHeight="true" outlineLevel="0" collapsed="false">
      <c r="E20" s="109" t="s">
        <v>355</v>
      </c>
      <c r="O20" s="113" t="s">
        <v>356</v>
      </c>
      <c r="P20" s="114" t="n">
        <f aca="false">M19*P19</f>
        <v>3179879.64</v>
      </c>
    </row>
    <row r="21" customFormat="false" ht="22.5" hidden="false" customHeight="true" outlineLevel="0" collapsed="false">
      <c r="E21" s="110" t="s">
        <v>357</v>
      </c>
      <c r="F21" s="110" t="n">
        <v>-80</v>
      </c>
    </row>
    <row r="22" customFormat="false" ht="22.5" hidden="false" customHeight="true" outlineLevel="0" collapsed="false">
      <c r="E22" s="110" t="s">
        <v>358</v>
      </c>
      <c r="F22" s="110" t="n">
        <v>-2000</v>
      </c>
      <c r="G22" s="110" t="s">
        <v>334</v>
      </c>
      <c r="I22" s="110" t="s">
        <v>337</v>
      </c>
    </row>
    <row r="23" customFormat="false" ht="22.5" hidden="false" customHeight="true" outlineLevel="0" collapsed="false">
      <c r="E23" s="110" t="s">
        <v>359</v>
      </c>
      <c r="F23" s="110" t="n">
        <v>-620</v>
      </c>
      <c r="G23" s="110" t="s">
        <v>334</v>
      </c>
      <c r="I23" s="110" t="s">
        <v>337</v>
      </c>
      <c r="O23" s="106" t="s">
        <v>358</v>
      </c>
    </row>
    <row r="24" customFormat="false" ht="22.5" hidden="false" customHeight="true" outlineLevel="0" collapsed="false">
      <c r="E24" s="110" t="s">
        <v>360</v>
      </c>
      <c r="F24" s="110" t="n">
        <v>-250</v>
      </c>
      <c r="G24" s="110" t="s">
        <v>361</v>
      </c>
      <c r="I24" s="110" t="s">
        <v>337</v>
      </c>
      <c r="O24" s="106" t="s">
        <v>362</v>
      </c>
      <c r="P24" s="114" t="n">
        <f aca="false">P20 * (((1+0.125)^2 - (1+0.075)^2) / (0.125 - 0.075))</f>
        <v>6995735.20800001</v>
      </c>
    </row>
    <row r="25" customFormat="false" ht="22.5" hidden="false" customHeight="true" outlineLevel="0" collapsed="false">
      <c r="E25" s="110"/>
      <c r="F25" s="110"/>
      <c r="G25" s="110"/>
      <c r="I25" s="110"/>
      <c r="O25" s="106" t="s">
        <v>363</v>
      </c>
      <c r="P25" s="114" t="n">
        <f aca="false">P20 * (((1+0.125)^5 - (1+0.075)^5) / (0.125 - 0.075))</f>
        <v>23302357.986538</v>
      </c>
    </row>
    <row r="26" customFormat="false" ht="22.5" hidden="false" customHeight="true" outlineLevel="0" collapsed="false">
      <c r="E26" s="110"/>
      <c r="F26" s="110"/>
      <c r="G26" s="110"/>
      <c r="I26" s="110"/>
      <c r="O26" s="106" t="s">
        <v>364</v>
      </c>
      <c r="P26" s="114" t="n">
        <f aca="false">P20 * (((1+0.125)^10 - (1+0.075)^10) / (0.125 - 0.075))</f>
        <v>75445154.2301191</v>
      </c>
    </row>
    <row r="27" customFormat="false" ht="22.5" hidden="false" customHeight="true" outlineLevel="0" collapsed="false">
      <c r="E27" s="110"/>
      <c r="F27" s="110"/>
      <c r="G27" s="110"/>
      <c r="I27" s="110"/>
      <c r="O27" s="106" t="s">
        <v>365</v>
      </c>
      <c r="P27" s="114" t="n">
        <f aca="false">P20 * (((1+0.125)^15 - (1+0.075)^15) / (0.125 - 0.075))</f>
        <v>183981512.962996</v>
      </c>
    </row>
    <row r="29" customFormat="false" ht="15.75" hidden="false" customHeight="true" outlineLevel="0" collapsed="false">
      <c r="C29" s="115" t="s">
        <v>366</v>
      </c>
    </row>
    <row r="30" customFormat="false" ht="15.75" hidden="false" customHeight="true" outlineLevel="0" collapsed="false">
      <c r="C30" s="116"/>
    </row>
  </sheetData>
  <hyperlinks>
    <hyperlink ref="E8" r:id="rId1" display="Groceries 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06" t="s">
        <v>367</v>
      </c>
      <c r="B1" s="106" t="s">
        <v>368</v>
      </c>
      <c r="C1" s="106" t="s">
        <v>369</v>
      </c>
      <c r="D1" s="106" t="s">
        <v>370</v>
      </c>
      <c r="E1" s="106" t="s">
        <v>371</v>
      </c>
    </row>
    <row r="2" customFormat="false" ht="15.75" hidden="false" customHeight="true" outlineLevel="0" collapsed="false">
      <c r="A2" s="117" t="n">
        <v>46023</v>
      </c>
      <c r="B2" s="106" t="s">
        <v>372</v>
      </c>
      <c r="C2" s="106" t="n">
        <v>2102</v>
      </c>
      <c r="D2" s="106" t="n">
        <v>1051</v>
      </c>
      <c r="E2" s="106" t="s">
        <v>373</v>
      </c>
    </row>
    <row r="3" customFormat="false" ht="15.75" hidden="false" customHeight="true" outlineLevel="0" collapsed="false">
      <c r="A3" s="117" t="n">
        <v>46023</v>
      </c>
      <c r="B3" s="106" t="s">
        <v>374</v>
      </c>
      <c r="C3" s="106" t="n">
        <v>37.72</v>
      </c>
      <c r="D3" s="106" t="n">
        <v>18.86</v>
      </c>
      <c r="E3" s="106" t="s">
        <v>375</v>
      </c>
    </row>
    <row r="4" customFormat="false" ht="15.75" hidden="false" customHeight="true" outlineLevel="0" collapsed="false">
      <c r="A4" s="117" t="n">
        <v>46023</v>
      </c>
      <c r="B4" s="106" t="s">
        <v>376</v>
      </c>
      <c r="C4" s="106" t="n">
        <v>38.66</v>
      </c>
      <c r="D4" s="106" t="n">
        <v>19.33</v>
      </c>
      <c r="E4" s="106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54" width="28.13"/>
    <col collapsed="false" customWidth="true" hidden="false" outlineLevel="0" max="2" min="2" style="54" width="23.88"/>
  </cols>
  <sheetData>
    <row r="1" customFormat="false" ht="15.75" hidden="false" customHeight="true" outlineLevel="0" collapsed="false">
      <c r="A1" s="106" t="s">
        <v>377</v>
      </c>
    </row>
    <row r="3" customFormat="false" ht="15.75" hidden="false" customHeight="true" outlineLevel="0" collapsed="false">
      <c r="B3" s="106" t="s">
        <v>378</v>
      </c>
      <c r="C3" s="106" t="n">
        <f aca="false">2525.8*2</f>
        <v>5051.6</v>
      </c>
    </row>
    <row r="4" customFormat="false" ht="15.75" hidden="false" customHeight="true" outlineLevel="0" collapsed="false">
      <c r="B4" s="106" t="s">
        <v>379</v>
      </c>
      <c r="C4" s="106" t="n">
        <f aca="false">207.69*2</f>
        <v>415.38</v>
      </c>
    </row>
    <row r="5" customFormat="false" ht="15.75" hidden="false" customHeight="true" outlineLevel="0" collapsed="false">
      <c r="B5" s="106" t="s">
        <v>380</v>
      </c>
      <c r="C5" s="106" t="n">
        <f aca="false">103.85*2</f>
        <v>207.7</v>
      </c>
    </row>
    <row r="6" customFormat="false" ht="15.75" hidden="false" customHeight="true" outlineLevel="0" collapsed="false">
      <c r="B6" s="106" t="s">
        <v>381</v>
      </c>
      <c r="C6" s="106" t="n">
        <f aca="false">C4+C5</f>
        <v>623.08</v>
      </c>
    </row>
    <row r="8" customFormat="false" ht="15.75" hidden="false" customHeight="true" outlineLevel="0" collapsed="false">
      <c r="B8" s="106" t="s">
        <v>382</v>
      </c>
      <c r="C8" s="106" t="n">
        <f aca="false">2500</f>
        <v>2500</v>
      </c>
      <c r="E8" s="106" t="n">
        <f aca="false">((C6+C13+C12)/C3)*100</f>
        <v>61.8235806477156</v>
      </c>
    </row>
    <row r="10" customFormat="false" ht="15.75" hidden="false" customHeight="true" outlineLevel="0" collapsed="false">
      <c r="E10" s="106" t="n">
        <f aca="false">(C6+C12+C13)*12*86.5</f>
        <v>3241757.04</v>
      </c>
    </row>
    <row r="11" customFormat="false" ht="15.75" hidden="false" customHeight="true" outlineLevel="0" collapsed="false">
      <c r="B11" s="106" t="s">
        <v>383</v>
      </c>
      <c r="C11" s="106" t="n">
        <f aca="false">C3-C8</f>
        <v>2551.6</v>
      </c>
    </row>
    <row r="12" customFormat="false" ht="15.75" hidden="false" customHeight="true" outlineLevel="0" collapsed="false">
      <c r="B12" s="106" t="s">
        <v>384</v>
      </c>
      <c r="C12" s="106" t="n">
        <f aca="false">2250</f>
        <v>2250</v>
      </c>
    </row>
    <row r="13" customFormat="false" ht="15.75" hidden="false" customHeight="true" outlineLevel="0" collapsed="false">
      <c r="B13" s="106" t="s">
        <v>385</v>
      </c>
      <c r="C13" s="106" t="n">
        <v>250</v>
      </c>
    </row>
    <row r="14" customFormat="false" ht="15.75" hidden="false" customHeight="true" outlineLevel="0" collapsed="false">
      <c r="B14" s="106" t="s">
        <v>386</v>
      </c>
      <c r="C14" s="106" t="n">
        <f aca="false">C11-C12-C13</f>
        <v>51.6000000000004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54" width="36.38"/>
    <col collapsed="false" customWidth="true" hidden="false" outlineLevel="0" max="3" min="3" style="54" width="15.13"/>
    <col collapsed="false" customWidth="true" hidden="false" outlineLevel="0" max="6" min="6" style="54" width="14.13"/>
    <col collapsed="false" customWidth="true" hidden="false" outlineLevel="0" max="11" min="11" style="54" width="19.25"/>
    <col collapsed="false" customWidth="true" hidden="false" outlineLevel="0" max="12" min="12" style="54" width="15.51"/>
    <col collapsed="false" customWidth="true" hidden="false" outlineLevel="0" max="14" min="14" style="54" width="14.13"/>
  </cols>
  <sheetData>
    <row r="2" customFormat="false" ht="15.75" hidden="false" customHeight="true" outlineLevel="0" collapsed="false">
      <c r="B2" s="118" t="s">
        <v>387</v>
      </c>
      <c r="K2" s="106" t="s">
        <v>388</v>
      </c>
    </row>
    <row r="4" customFormat="false" ht="15.75" hidden="false" customHeight="true" outlineLevel="0" collapsed="false">
      <c r="K4" s="119" t="s">
        <v>367</v>
      </c>
      <c r="L4" s="119" t="s">
        <v>368</v>
      </c>
      <c r="M4" s="119" t="s">
        <v>389</v>
      </c>
      <c r="N4" s="119" t="s">
        <v>390</v>
      </c>
      <c r="O4" s="119" t="s">
        <v>391</v>
      </c>
      <c r="P4" s="119" t="s">
        <v>392</v>
      </c>
      <c r="Q4" s="119" t="s">
        <v>393</v>
      </c>
    </row>
    <row r="5" customFormat="false" ht="15.75" hidden="false" customHeight="true" outlineLevel="0" collapsed="false">
      <c r="C5" s="106" t="s">
        <v>394</v>
      </c>
      <c r="D5" s="106" t="s">
        <v>395</v>
      </c>
      <c r="E5" s="106" t="s">
        <v>396</v>
      </c>
      <c r="F5" s="106" t="s">
        <v>397</v>
      </c>
      <c r="G5" s="106" t="s">
        <v>398</v>
      </c>
      <c r="K5" s="107"/>
      <c r="L5" s="120"/>
      <c r="M5" s="120"/>
      <c r="N5" s="120"/>
      <c r="O5" s="121"/>
      <c r="P5" s="122"/>
      <c r="Q5" s="120"/>
    </row>
    <row r="6" customFormat="false" ht="15.75" hidden="false" customHeight="true" outlineLevel="0" collapsed="false">
      <c r="C6" s="106" t="s">
        <v>399</v>
      </c>
      <c r="D6" s="106" t="s">
        <v>400</v>
      </c>
      <c r="E6" s="106" t="s">
        <v>401</v>
      </c>
      <c r="F6" s="106" t="n">
        <v>2</v>
      </c>
      <c r="G6" s="106" t="n">
        <v>4</v>
      </c>
      <c r="K6" s="107"/>
      <c r="L6" s="123"/>
      <c r="M6" s="123"/>
      <c r="N6" s="123"/>
      <c r="O6" s="124"/>
      <c r="P6" s="124"/>
      <c r="Q6" s="123"/>
    </row>
    <row r="7" customFormat="false" ht="15.75" hidden="false" customHeight="true" outlineLevel="0" collapsed="false">
      <c r="C7" s="106" t="s">
        <v>402</v>
      </c>
      <c r="D7" s="106" t="s">
        <v>400</v>
      </c>
      <c r="E7" s="106" t="s">
        <v>401</v>
      </c>
      <c r="F7" s="106" t="n">
        <v>4</v>
      </c>
      <c r="G7" s="106" t="n">
        <v>4</v>
      </c>
      <c r="K7" s="107"/>
      <c r="L7" s="120"/>
      <c r="M7" s="120"/>
      <c r="N7" s="120"/>
      <c r="O7" s="121"/>
      <c r="P7" s="121"/>
      <c r="Q7" s="120"/>
    </row>
    <row r="8" customFormat="false" ht="15.75" hidden="false" customHeight="true" outlineLevel="0" collapsed="false">
      <c r="C8" s="106" t="s">
        <v>403</v>
      </c>
      <c r="D8" s="106" t="s">
        <v>400</v>
      </c>
      <c r="E8" s="106" t="s">
        <v>404</v>
      </c>
      <c r="F8" s="106" t="n">
        <v>5</v>
      </c>
      <c r="G8" s="106" t="n">
        <v>2.5</v>
      </c>
      <c r="K8" s="107"/>
      <c r="L8" s="123"/>
      <c r="M8" s="123"/>
      <c r="N8" s="123"/>
      <c r="O8" s="124"/>
      <c r="P8" s="124"/>
      <c r="Q8" s="123"/>
    </row>
    <row r="9" customFormat="false" ht="15.75" hidden="false" customHeight="true" outlineLevel="0" collapsed="false">
      <c r="C9" s="106" t="s">
        <v>405</v>
      </c>
      <c r="D9" s="106" t="s">
        <v>400</v>
      </c>
      <c r="E9" s="106" t="s">
        <v>401</v>
      </c>
      <c r="F9" s="106" t="n">
        <v>3</v>
      </c>
      <c r="G9" s="106" t="n">
        <v>3</v>
      </c>
      <c r="K9" s="107"/>
      <c r="L9" s="120"/>
      <c r="M9" s="120"/>
      <c r="N9" s="120"/>
      <c r="O9" s="121"/>
      <c r="P9" s="122"/>
      <c r="Q9" s="120"/>
    </row>
    <row r="10" customFormat="false" ht="15.75" hidden="false" customHeight="true" outlineLevel="0" collapsed="false">
      <c r="C10" s="106" t="s">
        <v>406</v>
      </c>
      <c r="D10" s="106" t="s">
        <v>400</v>
      </c>
      <c r="E10" s="106" t="s">
        <v>404</v>
      </c>
      <c r="F10" s="106" t="n">
        <v>5</v>
      </c>
      <c r="G10" s="106" t="n">
        <v>2.5</v>
      </c>
    </row>
    <row r="11" customFormat="false" ht="15.75" hidden="false" customHeight="true" outlineLevel="0" collapsed="false">
      <c r="C11" s="106" t="s">
        <v>407</v>
      </c>
      <c r="D11" s="106" t="s">
        <v>400</v>
      </c>
      <c r="E11" s="106" t="s">
        <v>401</v>
      </c>
      <c r="F11" s="106" t="n">
        <v>5</v>
      </c>
      <c r="G11" s="106" t="n">
        <v>5</v>
      </c>
    </row>
    <row r="12" customFormat="false" ht="15.75" hidden="false" customHeight="true" outlineLevel="0" collapsed="false">
      <c r="C12" s="106" t="s">
        <v>408</v>
      </c>
      <c r="D12" s="106" t="s">
        <v>400</v>
      </c>
      <c r="E12" s="106" t="s">
        <v>401</v>
      </c>
      <c r="F12" s="106" t="n">
        <v>20</v>
      </c>
      <c r="G12" s="106" t="n">
        <v>20</v>
      </c>
    </row>
    <row r="13" customFormat="false" ht="15.75" hidden="false" customHeight="true" outlineLevel="0" collapsed="false">
      <c r="C13" s="106" t="s">
        <v>409</v>
      </c>
      <c r="D13" s="106" t="s">
        <v>400</v>
      </c>
      <c r="E13" s="106" t="s">
        <v>404</v>
      </c>
      <c r="F13" s="106" t="n">
        <v>5</v>
      </c>
      <c r="G13" s="106" t="n">
        <v>2.5</v>
      </c>
    </row>
    <row r="14" customFormat="false" ht="15.75" hidden="false" customHeight="true" outlineLevel="0" collapsed="false">
      <c r="C14" s="106" t="s">
        <v>410</v>
      </c>
      <c r="D14" s="106" t="s">
        <v>400</v>
      </c>
      <c r="E14" s="106" t="s">
        <v>411</v>
      </c>
      <c r="F14" s="106" t="n">
        <v>6</v>
      </c>
      <c r="G14" s="106" t="n">
        <v>3</v>
      </c>
    </row>
    <row r="15" customFormat="false" ht="15.75" hidden="false" customHeight="true" outlineLevel="0" collapsed="false">
      <c r="C15" s="106" t="s">
        <v>412</v>
      </c>
      <c r="D15" s="106" t="s">
        <v>400</v>
      </c>
      <c r="E15" s="106" t="s">
        <v>401</v>
      </c>
      <c r="F15" s="106" t="n">
        <v>4</v>
      </c>
      <c r="G15" s="106" t="n">
        <v>4</v>
      </c>
      <c r="K15" s="106" t="s">
        <v>413</v>
      </c>
    </row>
    <row r="16" customFormat="false" ht="15.75" hidden="false" customHeight="true" outlineLevel="0" collapsed="false">
      <c r="C16" s="106" t="s">
        <v>414</v>
      </c>
      <c r="D16" s="106" t="s">
        <v>400</v>
      </c>
      <c r="E16" s="106" t="s">
        <v>411</v>
      </c>
      <c r="F16" s="106" t="n">
        <v>12</v>
      </c>
      <c r="G16" s="106" t="n">
        <v>6</v>
      </c>
    </row>
    <row r="17" customFormat="false" ht="15.75" hidden="false" customHeight="true" outlineLevel="0" collapsed="false">
      <c r="C17" s="106" t="s">
        <v>415</v>
      </c>
      <c r="E17" s="106" t="s">
        <v>401</v>
      </c>
      <c r="F17" s="106" t="n">
        <v>10</v>
      </c>
      <c r="G17" s="106" t="n">
        <v>10</v>
      </c>
      <c r="K17" s="119" t="s">
        <v>367</v>
      </c>
      <c r="L17" s="119" t="s">
        <v>368</v>
      </c>
      <c r="M17" s="119" t="s">
        <v>389</v>
      </c>
      <c r="N17" s="119" t="s">
        <v>390</v>
      </c>
      <c r="O17" s="119" t="s">
        <v>391</v>
      </c>
      <c r="P17" s="119" t="s">
        <v>392</v>
      </c>
      <c r="Q17" s="119" t="s">
        <v>393</v>
      </c>
    </row>
    <row r="18" customFormat="false" ht="15.75" hidden="false" customHeight="true" outlineLevel="0" collapsed="false">
      <c r="G18" s="106" t="n">
        <f aca="false">SUM(G5:G17)</f>
        <v>66.5</v>
      </c>
      <c r="H18" s="106" t="n">
        <f aca="false">70*4.5</f>
        <v>315</v>
      </c>
      <c r="K18" s="125"/>
      <c r="L18" s="120"/>
      <c r="M18" s="120"/>
      <c r="N18" s="120"/>
      <c r="O18" s="121"/>
      <c r="P18" s="122"/>
      <c r="Q18" s="120"/>
    </row>
    <row r="19" customFormat="false" ht="15.75" hidden="false" customHeight="true" outlineLevel="0" collapsed="false">
      <c r="K19" s="125"/>
      <c r="L19" s="123"/>
      <c r="M19" s="123"/>
      <c r="N19" s="123"/>
      <c r="O19" s="124"/>
      <c r="P19" s="124"/>
      <c r="Q19" s="123"/>
    </row>
    <row r="20" customFormat="false" ht="15.75" hidden="false" customHeight="true" outlineLevel="0" collapsed="false">
      <c r="K20" s="125"/>
      <c r="L20" s="120"/>
      <c r="M20" s="120"/>
      <c r="N20" s="120"/>
      <c r="O20" s="121"/>
      <c r="P20" s="124"/>
      <c r="Q20" s="120"/>
    </row>
    <row r="21" customFormat="false" ht="15.75" hidden="false" customHeight="true" outlineLevel="0" collapsed="false">
      <c r="B21" s="118" t="s">
        <v>416</v>
      </c>
      <c r="C21" s="119" t="s">
        <v>367</v>
      </c>
      <c r="D21" s="119" t="s">
        <v>368</v>
      </c>
      <c r="E21" s="119" t="s">
        <v>389</v>
      </c>
      <c r="F21" s="119" t="s">
        <v>390</v>
      </c>
      <c r="G21" s="119" t="s">
        <v>391</v>
      </c>
      <c r="H21" s="119" t="s">
        <v>392</v>
      </c>
      <c r="I21" s="119" t="s">
        <v>393</v>
      </c>
      <c r="K21" s="126"/>
      <c r="L21" s="123"/>
      <c r="M21" s="123"/>
      <c r="N21" s="123"/>
      <c r="O21" s="124"/>
      <c r="P21" s="124"/>
      <c r="Q21" s="123"/>
    </row>
    <row r="22" customFormat="false" ht="15.75" hidden="false" customHeight="true" outlineLevel="0" collapsed="false">
      <c r="C22" s="125"/>
      <c r="D22" s="120"/>
      <c r="E22" s="120"/>
      <c r="F22" s="120"/>
      <c r="G22" s="121"/>
      <c r="H22" s="122"/>
      <c r="I22" s="120"/>
      <c r="K22" s="125"/>
      <c r="L22" s="120"/>
      <c r="M22" s="120"/>
      <c r="N22" s="120"/>
      <c r="O22" s="121"/>
      <c r="P22" s="122"/>
      <c r="Q22" s="120"/>
    </row>
    <row r="23" customFormat="false" ht="15.75" hidden="false" customHeight="true" outlineLevel="0" collapsed="false">
      <c r="C23" s="125"/>
      <c r="D23" s="123"/>
      <c r="E23" s="123"/>
      <c r="F23" s="123"/>
      <c r="G23" s="124"/>
      <c r="H23" s="124"/>
      <c r="I23" s="123"/>
      <c r="K23" s="125"/>
      <c r="L23" s="120"/>
      <c r="M23" s="120"/>
      <c r="N23" s="120"/>
      <c r="O23" s="121"/>
      <c r="P23" s="122"/>
      <c r="Q23" s="120"/>
    </row>
    <row r="24" customFormat="false" ht="15.75" hidden="false" customHeight="true" outlineLevel="0" collapsed="false">
      <c r="C24" s="125"/>
      <c r="D24" s="120"/>
      <c r="E24" s="120"/>
      <c r="F24" s="120"/>
      <c r="G24" s="121"/>
      <c r="H24" s="121"/>
      <c r="I24" s="120"/>
      <c r="K24" s="125"/>
      <c r="L24" s="120"/>
      <c r="M24" s="120"/>
      <c r="N24" s="120"/>
      <c r="O24" s="121"/>
      <c r="P24" s="122"/>
      <c r="Q24" s="120"/>
    </row>
    <row r="25" customFormat="false" ht="15.75" hidden="false" customHeight="true" outlineLevel="0" collapsed="false">
      <c r="C25" s="125"/>
      <c r="D25" s="123"/>
      <c r="E25" s="123"/>
      <c r="F25" s="123"/>
      <c r="G25" s="124"/>
      <c r="H25" s="124"/>
      <c r="I25" s="123"/>
      <c r="K25" s="125"/>
      <c r="L25" s="120"/>
      <c r="M25" s="120"/>
      <c r="N25" s="120"/>
      <c r="O25" s="121"/>
      <c r="P25" s="122"/>
      <c r="Q25" s="120"/>
    </row>
    <row r="26" customFormat="false" ht="15.75" hidden="false" customHeight="true" outlineLevel="0" collapsed="false">
      <c r="C26" s="107"/>
      <c r="D26" s="120"/>
      <c r="E26" s="120"/>
      <c r="F26" s="120"/>
      <c r="G26" s="121"/>
      <c r="H26" s="122"/>
      <c r="I26" s="120"/>
    </row>
    <row r="30" customFormat="false" ht="15.75" hidden="false" customHeight="true" outlineLevel="0" collapsed="false">
      <c r="J30" s="106" t="s">
        <v>417</v>
      </c>
      <c r="K30" s="119" t="s">
        <v>367</v>
      </c>
      <c r="L30" s="119" t="s">
        <v>368</v>
      </c>
      <c r="M30" s="119" t="s">
        <v>389</v>
      </c>
      <c r="N30" s="119" t="s">
        <v>390</v>
      </c>
      <c r="O30" s="119" t="s">
        <v>391</v>
      </c>
      <c r="P30" s="119" t="s">
        <v>392</v>
      </c>
      <c r="Q30" s="119" t="s">
        <v>393</v>
      </c>
    </row>
    <row r="31" customFormat="false" ht="15.75" hidden="false" customHeight="true" outlineLevel="0" collapsed="false">
      <c r="K31" s="117" t="n">
        <v>46025</v>
      </c>
      <c r="L31" s="127"/>
      <c r="M31" s="127"/>
      <c r="N31" s="127"/>
      <c r="O31" s="127"/>
      <c r="P31" s="127"/>
      <c r="Q31" s="1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54" width="13.38"/>
    <col collapsed="false" customWidth="true" hidden="false" outlineLevel="0" max="5" min="5" style="54" width="17.63"/>
  </cols>
  <sheetData>
    <row r="3" customFormat="false" ht="15.75" hidden="false" customHeight="true" outlineLevel="0" collapsed="false">
      <c r="C3" s="106" t="s">
        <v>368</v>
      </c>
      <c r="D3" s="106" t="s">
        <v>418</v>
      </c>
      <c r="E3" s="106" t="s">
        <v>419</v>
      </c>
    </row>
    <row r="4" customFormat="false" ht="15.75" hidden="false" customHeight="true" outlineLevel="0" collapsed="false">
      <c r="C4" s="106" t="s">
        <v>420</v>
      </c>
      <c r="D4" s="106" t="n">
        <f aca="false">97.59/12</f>
        <v>8.1325</v>
      </c>
      <c r="E4" s="106" t="s">
        <v>421</v>
      </c>
    </row>
    <row r="5" customFormat="false" ht="15.75" hidden="false" customHeight="true" outlineLevel="0" collapsed="false">
      <c r="C5" s="106" t="s">
        <v>422</v>
      </c>
      <c r="D5" s="106" t="n">
        <f aca="false">32/12</f>
        <v>2.66666666666667</v>
      </c>
      <c r="E5" s="106" t="s">
        <v>423</v>
      </c>
    </row>
    <row r="6" customFormat="false" ht="15.75" hidden="false" customHeight="true" outlineLevel="0" collapsed="false">
      <c r="C6" s="106" t="s">
        <v>424</v>
      </c>
      <c r="D6" s="106" t="n">
        <v>2.99</v>
      </c>
      <c r="E6" s="106" t="s">
        <v>423</v>
      </c>
    </row>
    <row r="7" customFormat="false" ht="15.75" hidden="false" customHeight="true" outlineLevel="0" collapsed="false">
      <c r="C7" s="106" t="s">
        <v>425</v>
      </c>
      <c r="D7" s="106" t="n">
        <v>21</v>
      </c>
      <c r="E7" s="106" t="s">
        <v>423</v>
      </c>
    </row>
    <row r="8" customFormat="false" ht="15.75" hidden="false" customHeight="true" outlineLevel="0" collapsed="false">
      <c r="C8" s="106" t="s">
        <v>426</v>
      </c>
      <c r="D8" s="106" t="n">
        <v>16</v>
      </c>
      <c r="E8" s="106" t="s">
        <v>423</v>
      </c>
    </row>
    <row r="9" customFormat="false" ht="15.75" hidden="false" customHeight="true" outlineLevel="0" collapsed="false">
      <c r="C9" s="106" t="s">
        <v>427</v>
      </c>
      <c r="D9" s="106" t="n">
        <v>25</v>
      </c>
      <c r="E9" s="106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2026-03-09T02:11:24Z</dcterms:created>
  <dc:creator>openpyxl</dc:creator>
  <dc:description/>
  <dc:language>en-US</dc:language>
  <cp:lastModifiedBy/>
  <dcterms:modified xsi:type="dcterms:W3CDTF">2026-03-09T02:28:34Z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